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ecurity Assessm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C0392B"/>
      <sz val="10"/>
    </font>
    <font>
      <name val="Segoe UI"/>
      <color rgb="002E2E2E"/>
      <sz val="10"/>
    </font>
    <font>
      <name val="Segoe UI"/>
      <b val="1"/>
      <color rgb="00A0522D"/>
      <sz val="10"/>
    </font>
    <font>
      <name val="Segoe UI"/>
      <b val="1"/>
      <color rgb="002E7D32"/>
      <sz val="10"/>
    </font>
    <font>
      <name val="Segoe UI"/>
      <b val="1"/>
      <color rgb="001E6B43"/>
      <sz val="10"/>
    </font>
    <font>
      <name val="Segoe UI"/>
      <b val="1"/>
      <color rgb="002E2E2E"/>
      <sz val="10"/>
    </font>
    <font>
      <name val="Segoe UI"/>
      <b val="1"/>
      <color rgb="00FFFFFF"/>
      <sz val="18"/>
    </font>
    <font>
      <name val="Segoe UI"/>
      <i val="1"/>
      <color rgb="00CCCCCC"/>
      <sz val="11"/>
    </font>
    <font>
      <name val="Segoe UI"/>
      <b val="1"/>
      <color rgb="00231F33"/>
      <sz val="20"/>
    </font>
    <font>
      <name val="Segoe UI"/>
      <i val="1"/>
      <color rgb="007A7075"/>
      <sz val="9"/>
    </font>
    <font>
      <name val="Segoe UI"/>
      <b val="1"/>
      <color rgb="00231F33"/>
      <sz val="12"/>
    </font>
    <font>
      <name val="Segoe UI"/>
      <color rgb="00555555"/>
      <sz val="10"/>
    </font>
  </fonts>
  <fills count="12">
    <fill>
      <patternFill/>
    </fill>
    <fill>
      <patternFill patternType="gray125"/>
    </fill>
    <fill>
      <patternFill patternType="solid">
        <fgColor rgb="00231F33"/>
        <bgColor rgb="00231F33"/>
      </patternFill>
    </fill>
    <fill>
      <patternFill patternType="solid">
        <fgColor rgb="00FDF1F0"/>
        <bgColor rgb="00FDF1F0"/>
      </patternFill>
    </fill>
    <fill>
      <patternFill patternType="solid">
        <fgColor rgb="00FAF7FA"/>
        <bgColor rgb="00FAF7FA"/>
      </patternFill>
    </fill>
    <fill>
      <patternFill patternType="solid">
        <fgColor rgb="00FDF0E9"/>
        <bgColor rgb="00FDF0E9"/>
      </patternFill>
    </fill>
    <fill>
      <patternFill patternType="solid">
        <fgColor rgb="00EDF7ED"/>
        <bgColor rgb="00EDF7ED"/>
      </patternFill>
    </fill>
    <fill>
      <patternFill patternType="solid">
        <fgColor rgb="00E8F8F0"/>
        <bgColor rgb="00E8F8F0"/>
      </patternFill>
    </fill>
    <fill>
      <patternFill patternType="solid">
        <fgColor rgb="000F2027"/>
        <bgColor rgb="000F2027"/>
      </patternFill>
    </fill>
    <fill>
      <patternFill patternType="solid">
        <fgColor rgb="00203A43"/>
        <bgColor rgb="00203A43"/>
      </patternFill>
    </fill>
    <fill>
      <patternFill patternType="solid">
        <fgColor rgb="00F5EFEF"/>
        <bgColor rgb="00F5EFEF"/>
      </patternFill>
    </fill>
    <fill>
      <patternFill patternType="solid">
        <fgColor rgb="00F9EBE5"/>
        <bgColor rgb="00F9EBE5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3" fontId="10" fillId="10" borderId="2" applyAlignment="1" pivotButton="0" quotePrefix="0" xfId="0">
      <alignment horizontal="center" vertical="center"/>
    </xf>
    <xf numFmtId="0" fontId="0" fillId="0" borderId="2" pivotButton="0" quotePrefix="0" xfId="0"/>
    <xf numFmtId="2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right" vertical="center"/>
    </xf>
    <xf numFmtId="2" fontId="7" fillId="0" borderId="3" applyAlignment="1" pivotButton="0" quotePrefix="0" xfId="0">
      <alignment horizontal="center" vertical="center"/>
    </xf>
    <xf numFmtId="0" fontId="12" fillId="11" borderId="2" pivotButton="0" quotePrefix="0" xfId="0"/>
    <xf numFmtId="0" fontId="13" fillId="0" borderId="0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" fontId="3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1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0" fillId="0" borderId="3" pivotButton="0" quotePrefix="0" xfId="0"/>
    <xf numFmtId="2" fontId="7" fillId="0" borderId="3" applyAlignment="1" pivotButton="0" quotePrefix="0" xfId="0">
      <alignment horizontal="right" vertical="center"/>
    </xf>
    <xf numFmtId="3" fontId="7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" customWidth="1" min="4" max="4"/>
    <col width="26" customWidth="1" min="5" max="5"/>
    <col width="15" customWidth="1" min="6" max="6"/>
    <col width="15" customWidth="1" min="7" max="7"/>
    <col width="12" customWidth="1" min="8" max="8"/>
  </cols>
  <sheetData>
    <row r="2" ht="40" customHeight="1">
      <c r="A2" s="1" t="inlineStr">
        <is>
          <t>BUSINESS SECURITY &amp; DIGITAL RISK ANALYSIS - PAN-INDIA</t>
        </is>
      </c>
    </row>
    <row r="3" ht="22" customHeight="1">
      <c r="A3" s="2" t="inlineStr">
        <is>
          <t>Digital Security Posture Assessment of 50 Businesses Across India</t>
        </is>
      </c>
    </row>
    <row r="5" ht="32" customHeight="1">
      <c r="A5" s="3">
        <f>COUNTA('Security Assessment Data'!A3:A52)</f>
        <v/>
      </c>
      <c r="B5" s="4" t="n"/>
      <c r="C5" s="5">
        <f>AVERAGE('Security Assessment Data'!R3:R52)</f>
        <v/>
      </c>
      <c r="D5" s="4" t="n"/>
      <c r="E5" s="3">
        <f>COUNTIF('Security Assessment Data'!S3:S52, "*Secure*")</f>
        <v/>
      </c>
      <c r="F5" s="4" t="n"/>
      <c r="G5" s="3">
        <f>COUNTIF('Security Assessment Data'!S3:S52, "*Risk*")</f>
        <v/>
      </c>
      <c r="H5" s="4" t="n"/>
    </row>
    <row r="6" ht="18" customHeight="1">
      <c r="A6" s="6" t="inlineStr">
        <is>
          <t>Total Businesses Checked</t>
        </is>
      </c>
      <c r="B6" s="4" t="n"/>
      <c r="C6" s="6" t="inlineStr">
        <is>
          <t>Average Security Score (0-5)</t>
        </is>
      </c>
      <c r="D6" s="4" t="n"/>
      <c r="E6" s="6" t="inlineStr">
        <is>
          <t>Secure Businesses (Score 4-5)</t>
        </is>
      </c>
      <c r="F6" s="4" t="n"/>
      <c r="G6" s="6" t="inlineStr">
        <is>
          <t>Risky Businesses (Score 0-3)</t>
        </is>
      </c>
      <c r="H6" s="4" t="n"/>
    </row>
    <row r="9" ht="24" customHeight="1">
      <c r="A9" s="7" t="inlineStr">
        <is>
          <t>Risk Level Breakdown</t>
        </is>
      </c>
      <c r="B9" s="4" t="n"/>
      <c r="C9" s="4" t="n"/>
      <c r="E9" s="7" t="inlineStr">
        <is>
          <t>Average Score by Category</t>
        </is>
      </c>
      <c r="F9" s="4" t="n"/>
      <c r="G9" s="4" t="n"/>
    </row>
    <row r="10" ht="24" customHeight="1">
      <c r="A10" s="8" t="inlineStr">
        <is>
          <t>Risk Level</t>
        </is>
      </c>
      <c r="B10" s="8" t="inlineStr">
        <is>
          <t>Count</t>
        </is>
      </c>
      <c r="C10" s="8" t="inlineStr">
        <is>
          <t>Percentage</t>
        </is>
      </c>
      <c r="E10" s="8" t="inlineStr">
        <is>
          <t>Category</t>
        </is>
      </c>
      <c r="F10" s="8" t="inlineStr">
        <is>
          <t>Total Checked</t>
        </is>
      </c>
      <c r="G10" s="8" t="inlineStr">
        <is>
          <t>Average Score</t>
        </is>
      </c>
    </row>
    <row r="11" ht="20" customHeight="1">
      <c r="A11" s="9" t="inlineStr">
        <is>
          <t>Very Secure</t>
        </is>
      </c>
      <c r="B11" s="10">
        <f>COUNTIF('Security Assessment Data'!S3:S52, "Very Secure")</f>
        <v/>
      </c>
      <c r="C11" s="11">
        <f>B11/SUM(B11:B15)</f>
        <v/>
      </c>
      <c r="E11" s="9" t="inlineStr">
        <is>
          <t>Restaurants &amp; Cafes</t>
        </is>
      </c>
      <c r="F11" s="10">
        <f>COUNTIF('Security Assessment Data'!C3:C52, "Restaurants &amp; Cafes")</f>
        <v/>
      </c>
      <c r="G11" s="12">
        <f>AVERAGEIF('Security Assessment Data'!C3:C52, "Restaurants &amp; Cafes", 'Security Assessment Data'!R3:R52)</f>
        <v/>
      </c>
    </row>
    <row r="12" ht="20" customHeight="1">
      <c r="A12" s="9" t="inlineStr">
        <is>
          <t>Secure</t>
        </is>
      </c>
      <c r="B12" s="10">
        <f>COUNTIF('Security Assessment Data'!S3:S52, "Secure")</f>
        <v/>
      </c>
      <c r="C12" s="11">
        <f>B12/SUM(B11:B15)</f>
        <v/>
      </c>
      <c r="E12" s="9" t="inlineStr">
        <is>
          <t>Healthcare &amp; Clinics</t>
        </is>
      </c>
      <c r="F12" s="10">
        <f>COUNTIF('Security Assessment Data'!C3:C52, "Healthcare &amp; Clinics")</f>
        <v/>
      </c>
      <c r="G12" s="12">
        <f>AVERAGEIF('Security Assessment Data'!C3:C52, "Healthcare &amp; Clinics", 'Security Assessment Data'!R3:R52)</f>
        <v/>
      </c>
    </row>
    <row r="13" ht="20" customHeight="1">
      <c r="A13" s="9" t="inlineStr">
        <is>
          <t>Moderate Risk</t>
        </is>
      </c>
      <c r="B13" s="10">
        <f>COUNTIF('Security Assessment Data'!S3:S52, "Moderate Risk")</f>
        <v/>
      </c>
      <c r="C13" s="11">
        <f>B13/SUM(B11:B15)</f>
        <v/>
      </c>
      <c r="E13" s="9" t="inlineStr">
        <is>
          <t>Retail &amp; Shops</t>
        </is>
      </c>
      <c r="F13" s="10">
        <f>COUNTIF('Security Assessment Data'!C3:C52, "Retail &amp; Shops")</f>
        <v/>
      </c>
      <c r="G13" s="12">
        <f>AVERAGEIF('Security Assessment Data'!C3:C52, "Retail &amp; Shops", 'Security Assessment Data'!R3:R52)</f>
        <v/>
      </c>
    </row>
    <row r="14" ht="20" customHeight="1">
      <c r="A14" s="9" t="inlineStr">
        <is>
          <t>High Risk</t>
        </is>
      </c>
      <c r="B14" s="10">
        <f>COUNTIF('Security Assessment Data'!S3:S52, "High Risk")</f>
        <v/>
      </c>
      <c r="C14" s="11">
        <f>B14/SUM(B11:B15)</f>
        <v/>
      </c>
      <c r="E14" s="9" t="inlineStr">
        <is>
          <t>Professional Services</t>
        </is>
      </c>
      <c r="F14" s="10">
        <f>COUNTIF('Security Assessment Data'!C3:C52, "Professional Services")</f>
        <v/>
      </c>
      <c r="G14" s="12">
        <f>AVERAGEIF('Security Assessment Data'!C3:C52, "Professional Services", 'Security Assessment Data'!R3:R52)</f>
        <v/>
      </c>
    </row>
    <row r="15" ht="20" customHeight="1">
      <c r="A15" s="9" t="inlineStr">
        <is>
          <t>Very High Risk</t>
        </is>
      </c>
      <c r="B15" s="10">
        <f>COUNTIF('Security Assessment Data'!S3:S52, "Very High Risk")</f>
        <v/>
      </c>
      <c r="C15" s="11">
        <f>B15/SUM(B11:B15)</f>
        <v/>
      </c>
      <c r="E15" s="9" t="inlineStr">
        <is>
          <t>Hospitality &amp; Hotels</t>
        </is>
      </c>
      <c r="F15" s="10">
        <f>COUNTIF('Security Assessment Data'!C3:C52, "Hospitality &amp; Hotels")</f>
        <v/>
      </c>
      <c r="G15" s="12">
        <f>AVERAGEIF('Security Assessment Data'!C3:C52, "Hospitality &amp; Hotels", 'Security Assessment Data'!R3:R52)</f>
        <v/>
      </c>
    </row>
    <row r="16">
      <c r="A16" s="13" t="inlineStr">
        <is>
          <t>Total</t>
        </is>
      </c>
      <c r="B16" s="14">
        <f>SUM(B11:B15)</f>
        <v/>
      </c>
      <c r="C16" s="15">
        <f>SUM(C11:C15)</f>
        <v/>
      </c>
      <c r="E16" s="13" t="inlineStr">
        <is>
          <t>All Industries</t>
        </is>
      </c>
      <c r="F16" s="14">
        <f>SUM(F11:F15)</f>
        <v/>
      </c>
      <c r="G16" s="16">
        <f>AVERAGE('Security Assessment Data'!R3:R{data_end_row})</f>
        <v/>
      </c>
    </row>
    <row r="19" ht="24" customHeight="1">
      <c r="A19" s="17" t="inlineStr">
        <is>
          <t>Key Observation &amp; Analysis Insights:</t>
        </is>
      </c>
      <c r="B19" s="4" t="n"/>
      <c r="C19" s="4" t="n"/>
      <c r="D19" s="4" t="n"/>
      <c r="E19" s="4" t="n"/>
      <c r="F19" s="4" t="n"/>
      <c r="G19" s="4" t="n"/>
      <c r="H19" s="4" t="n"/>
    </row>
    <row r="20" ht="20" customHeight="1">
      <c r="A20" s="18" t="inlineStr">
        <is>
          <t>1. High Vulnerability in Professional Services: Professional services have a low average security score. Several regional law offices and tax consultants exhibit critical weaknesses.</t>
        </is>
      </c>
    </row>
    <row r="21" ht="20" customHeight="1">
      <c r="A21" s="18" t="inlineStr">
        <is>
          <t>2. Digital Absence Risk: 8 out of 50 businesses analyzed have NO website, leaving them with a Very High Risk rating due to missed opportunities.</t>
        </is>
      </c>
    </row>
    <row r="22" ht="20" customHeight="1">
      <c r="A22" s="18" t="inlineStr">
        <is>
          <t>3. Missing Security Headers: 45% of the websites scanned are missing critical security headers like Content-Security-Policy (CSP) and HSTS.</t>
        </is>
      </c>
    </row>
    <row r="23" ht="20" customHeight="1">
      <c r="A23" s="18" t="inlineStr">
        <is>
          <t>4. Exposed Administrative Interfaces: 6 businesses have exposed admin panels (/wp-admin or similar) accessible to the public.</t>
        </is>
      </c>
    </row>
    <row r="24" ht="20" customHeight="1">
      <c r="A24" s="18" t="inlineStr">
        <is>
          <t>5. Unclaimed Profiles: 9 businesses have unclaimed Google Business Profiles on Maps. This exposes them to direct profile hijacking and sabotage.</t>
        </is>
      </c>
    </row>
  </sheetData>
  <mergeCells count="18">
    <mergeCell ref="A3:H3"/>
    <mergeCell ref="E6:F6"/>
    <mergeCell ref="C6:D6"/>
    <mergeCell ref="A21:H21"/>
    <mergeCell ref="A20:H20"/>
    <mergeCell ref="A24:H24"/>
    <mergeCell ref="A2:H2"/>
    <mergeCell ref="C5:D5"/>
    <mergeCell ref="A5:B5"/>
    <mergeCell ref="G5:H5"/>
    <mergeCell ref="E5:F5"/>
    <mergeCell ref="A9:C9"/>
    <mergeCell ref="E9:G9"/>
    <mergeCell ref="A19:H19"/>
    <mergeCell ref="G6:H6"/>
    <mergeCell ref="A23:H23"/>
    <mergeCell ref="A6:B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A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5" customWidth="1" min="4" max="4"/>
    <col width="15" customWidth="1" min="5" max="5"/>
    <col width="14" customWidth="1" min="6" max="6"/>
    <col width="14" customWidth="1" min="7" max="7"/>
    <col width="15" customWidth="1" min="8" max="8"/>
    <col width="25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14" customWidth="1" min="18" max="18"/>
    <col width="16" customWidth="1" min="19" max="19"/>
    <col width="16" customWidth="1" min="20" max="20"/>
    <col width="20" customWidth="1" min="21" max="21"/>
    <col width="25" customWidth="1" min="22" max="22"/>
    <col width="30" customWidth="1" min="23" max="23"/>
    <col width="35" customWidth="1" min="24" max="24"/>
    <col width="35" customWidth="1" min="25" max="25"/>
    <col width="30" customWidth="1" min="26" max="26"/>
    <col width="40" customWidth="1" min="27" max="27"/>
  </cols>
  <sheetData>
    <row r="2" ht="30" customHeight="1">
      <c r="A2" s="8" t="inlineStr">
        <is>
          <t>Business ID</t>
        </is>
      </c>
      <c r="B2" s="8" t="inlineStr">
        <is>
          <t>Business Name</t>
        </is>
      </c>
      <c r="C2" s="8" t="inlineStr">
        <is>
          <t>Category</t>
        </is>
      </c>
      <c r="D2" s="8" t="inlineStr">
        <is>
          <t>Location</t>
        </is>
      </c>
      <c r="E2" s="8" t="inlineStr">
        <is>
          <t>Google Maps Rating</t>
        </is>
      </c>
      <c r="F2" s="8" t="inlineStr">
        <is>
          <t>Reviews Count</t>
        </is>
      </c>
      <c r="G2" s="8" t="inlineStr">
        <is>
          <t>GBP Claimed</t>
        </is>
      </c>
      <c r="H2" s="8" t="inlineStr">
        <is>
          <t>Website Status</t>
        </is>
      </c>
      <c r="I2" s="8" t="inlineStr">
        <is>
          <t>Website URL</t>
        </is>
      </c>
      <c r="J2" s="8" t="inlineStr">
        <is>
          <t>HTTPS Redirect</t>
        </is>
      </c>
      <c r="K2" s="8" t="inlineStr">
        <is>
          <t>SSL Status</t>
        </is>
      </c>
      <c r="L2" s="8" t="inlineStr">
        <is>
          <t>SSL Provider</t>
        </is>
      </c>
      <c r="M2" s="8" t="inlineStr">
        <is>
          <t>Admin Panel Exposed</t>
        </is>
      </c>
      <c r="N2" s="8" t="inlineStr">
        <is>
          <t>Forms Protection</t>
        </is>
      </c>
      <c r="O2" s="8" t="inlineStr">
        <is>
          <t>Directory Listing</t>
        </is>
      </c>
      <c r="P2" s="8" t="inlineStr">
        <is>
          <t>Safe Browsing Check</t>
        </is>
      </c>
      <c r="Q2" s="8" t="inlineStr">
        <is>
          <t>Missing Security Headers</t>
        </is>
      </c>
      <c r="R2" s="8" t="inlineStr">
        <is>
          <t>Security Score</t>
        </is>
      </c>
      <c r="S2" s="8" t="inlineStr">
        <is>
          <t>Risk Level</t>
        </is>
      </c>
      <c r="T2" s="8" t="inlineStr">
        <is>
          <t>Outreach Priority</t>
        </is>
      </c>
      <c r="U2" s="8" t="inlineStr">
        <is>
          <t>Estimated Lead Value</t>
        </is>
      </c>
      <c r="V2" s="8" t="inlineStr">
        <is>
          <t>Outreach Strategy</t>
        </is>
      </c>
      <c r="W2" s="8" t="inlineStr">
        <is>
          <t>Outreach Subject Line</t>
        </is>
      </c>
      <c r="X2" s="8" t="inlineStr">
        <is>
          <t>First Touch Pitch Hook</t>
        </is>
      </c>
      <c r="Y2" s="8" t="inlineStr">
        <is>
          <t>Sales Pitch Hook</t>
        </is>
      </c>
      <c r="Z2" s="8" t="inlineStr">
        <is>
          <t>Key Security Gaps</t>
        </is>
      </c>
      <c r="AA2" s="8" t="inlineStr">
        <is>
          <t>Actionable Recommendation</t>
        </is>
      </c>
    </row>
    <row r="3" ht="270" customHeight="1">
      <c r="A3" s="10" t="inlineStr">
        <is>
          <t>BIZ-08</t>
        </is>
      </c>
      <c r="B3" s="9" t="inlineStr">
        <is>
          <t>Cafe Goodluck</t>
        </is>
      </c>
      <c r="C3" s="9" t="inlineStr">
        <is>
          <t>Restaurants &amp; Cafes</t>
        </is>
      </c>
      <c r="D3" s="10" t="inlineStr">
        <is>
          <t>Pune</t>
        </is>
      </c>
      <c r="E3" s="19" t="n">
        <v>4.3</v>
      </c>
      <c r="F3" s="20" t="n">
        <v>6200</v>
      </c>
      <c r="G3" s="10" t="inlineStr">
        <is>
          <t>No</t>
        </is>
      </c>
      <c r="H3" s="10" t="inlineStr">
        <is>
          <t>No Website</t>
        </is>
      </c>
      <c r="I3" s="9" t="inlineStr">
        <is>
          <t>None</t>
        </is>
      </c>
      <c r="J3" s="10" t="inlineStr">
        <is>
          <t>N/A</t>
        </is>
      </c>
      <c r="K3" s="10" t="inlineStr">
        <is>
          <t>None</t>
        </is>
      </c>
      <c r="L3" s="10" t="inlineStr">
        <is>
          <t>None</t>
        </is>
      </c>
      <c r="M3" s="10" t="inlineStr">
        <is>
          <t>N/A</t>
        </is>
      </c>
      <c r="N3" s="10" t="inlineStr">
        <is>
          <t>N/A</t>
        </is>
      </c>
      <c r="O3" s="10" t="inlineStr">
        <is>
          <t>N/A</t>
        </is>
      </c>
      <c r="P3" s="10" t="inlineStr">
        <is>
          <t>N/A</t>
        </is>
      </c>
      <c r="Q3" s="9" t="inlineStr">
        <is>
          <t>N/A</t>
        </is>
      </c>
      <c r="R3" s="21" t="n">
        <v>0</v>
      </c>
      <c r="S3" s="22" t="inlineStr">
        <is>
          <t>Very High Risk</t>
        </is>
      </c>
      <c r="T3" s="22" t="inlineStr">
        <is>
          <t>CRITICAL</t>
        </is>
      </c>
      <c r="U3" s="10" t="inlineStr">
        <is>
          <t>$3,500 - $5,000 (Premium Retainer)</t>
        </is>
      </c>
      <c r="V3" s="23" t="inlineStr">
        <is>
          <t>Local Business Visit (Claim Google Maps Listing Pitch)</t>
        </is>
      </c>
      <c r="W3" s="23" t="inlineStr">
        <is>
          <t>Unsecured local presence for Cafe Goodluck</t>
        </is>
      </c>
      <c r="X3" s="23" t="inlineStr">
        <is>
          <t>Your Google Maps profile for Cafe Goodluck is currently unclaimed, meaning anyone can change your phone number or edit your address. We can secure it today.</t>
        </is>
      </c>
      <c r="Y3" s="23" t="inlineStr">
        <is>
          <t>Profile Hijacking Risk (Unclaimed Google Maps Profile) &amp; Digital Absence</t>
        </is>
      </c>
      <c r="Z3" s="23" t="inlineStr">
        <is>
          <t>Digital Absence, Unclaimed Google Business Profile</t>
        </is>
      </c>
      <c r="AA3" s="23" t="inlineStr">
        <is>
          <t>1. Claim Google Business Profile immediately to prevent hijacking. 2. Build a secure, mobile-friendly landing page with HTTPS. 3. Standardize NAP (Name, Address, Phone) details.</t>
        </is>
      </c>
    </row>
    <row r="4" ht="270" customHeight="1">
      <c r="A4" s="24" t="inlineStr">
        <is>
          <t>BIZ-20</t>
        </is>
      </c>
      <c r="B4" s="25" t="inlineStr">
        <is>
          <t>City Dental Clinic &amp; Implant Center</t>
        </is>
      </c>
      <c r="C4" s="25" t="inlineStr">
        <is>
          <t>Healthcare &amp; Clinics</t>
        </is>
      </c>
      <c r="D4" s="24" t="inlineStr">
        <is>
          <t>Ahmedabad</t>
        </is>
      </c>
      <c r="E4" s="26" t="n">
        <v>4.2</v>
      </c>
      <c r="F4" s="27" t="n">
        <v>120</v>
      </c>
      <c r="G4" s="24" t="inlineStr">
        <is>
          <t>No</t>
        </is>
      </c>
      <c r="H4" s="24" t="inlineStr">
        <is>
          <t>No Website</t>
        </is>
      </c>
      <c r="I4" s="25" t="inlineStr">
        <is>
          <t>None</t>
        </is>
      </c>
      <c r="J4" s="24" t="inlineStr">
        <is>
          <t>N/A</t>
        </is>
      </c>
      <c r="K4" s="24" t="inlineStr">
        <is>
          <t>None</t>
        </is>
      </c>
      <c r="L4" s="24" t="inlineStr">
        <is>
          <t>None</t>
        </is>
      </c>
      <c r="M4" s="24" t="inlineStr">
        <is>
          <t>N/A</t>
        </is>
      </c>
      <c r="N4" s="24" t="inlineStr">
        <is>
          <t>N/A</t>
        </is>
      </c>
      <c r="O4" s="24" t="inlineStr">
        <is>
          <t>N/A</t>
        </is>
      </c>
      <c r="P4" s="24" t="inlineStr">
        <is>
          <t>N/A</t>
        </is>
      </c>
      <c r="Q4" s="25" t="inlineStr">
        <is>
          <t>N/A</t>
        </is>
      </c>
      <c r="R4" s="28" t="n">
        <v>0</v>
      </c>
      <c r="S4" s="22" t="inlineStr">
        <is>
          <t>Very High Risk</t>
        </is>
      </c>
      <c r="T4" s="22" t="inlineStr">
        <is>
          <t>CRITICAL</t>
        </is>
      </c>
      <c r="U4" s="24" t="inlineStr">
        <is>
          <t>$1,500 - $2,500 (Standard Setup)</t>
        </is>
      </c>
      <c r="V4" s="29" t="inlineStr">
        <is>
          <t>Local Business Visit (Claim Google Maps Listing Pitch)</t>
        </is>
      </c>
      <c r="W4" s="29" t="inlineStr">
        <is>
          <t>Unsecured local presence for City Dental Clinic &amp; Implant Center</t>
        </is>
      </c>
      <c r="X4" s="29" t="inlineStr">
        <is>
          <t>Your Google Maps profile for City Dental Clinic &amp; Implant Center is currently unclaimed, meaning anyone can change your phone number or edit your address. We can secure it today.</t>
        </is>
      </c>
      <c r="Y4" s="29" t="inlineStr">
        <is>
          <t>Profile Hijacking Risk (Unclaimed Google Maps Profile) &amp; Digital Absence</t>
        </is>
      </c>
      <c r="Z4" s="29" t="inlineStr">
        <is>
          <t>Digital Absence, Unclaimed Google Business Profile</t>
        </is>
      </c>
      <c r="AA4" s="29" t="inlineStr">
        <is>
          <t>1. Claim Google Business Profile immediately to prevent hijacking. 2. Build a secure, mobile-friendly landing page with HTTPS. 3. Standardize NAP (Name, Address, Phone) details.</t>
        </is>
      </c>
    </row>
    <row r="5" ht="270" customHeight="1">
      <c r="A5" s="10" t="inlineStr">
        <is>
          <t>BIZ-24</t>
        </is>
      </c>
      <c r="B5" s="9" t="inlineStr">
        <is>
          <t>Sarojini Saree House</t>
        </is>
      </c>
      <c r="C5" s="9" t="inlineStr">
        <is>
          <t>Retail &amp; Shops</t>
        </is>
      </c>
      <c r="D5" s="10" t="inlineStr">
        <is>
          <t>Jaipur</t>
        </is>
      </c>
      <c r="E5" s="19" t="n">
        <v>3.6</v>
      </c>
      <c r="F5" s="20" t="n">
        <v>45</v>
      </c>
      <c r="G5" s="10" t="inlineStr">
        <is>
          <t>No</t>
        </is>
      </c>
      <c r="H5" s="10" t="inlineStr">
        <is>
          <t>No Website</t>
        </is>
      </c>
      <c r="I5" s="9" t="inlineStr">
        <is>
          <t>None</t>
        </is>
      </c>
      <c r="J5" s="10" t="inlineStr">
        <is>
          <t>N/A</t>
        </is>
      </c>
      <c r="K5" s="10" t="inlineStr">
        <is>
          <t>None</t>
        </is>
      </c>
      <c r="L5" s="10" t="inlineStr">
        <is>
          <t>None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9" t="inlineStr">
        <is>
          <t>N/A</t>
        </is>
      </c>
      <c r="R5" s="21" t="n">
        <v>0</v>
      </c>
      <c r="S5" s="22" t="inlineStr">
        <is>
          <t>Very High Risk</t>
        </is>
      </c>
      <c r="T5" s="22" t="inlineStr">
        <is>
          <t>CRITICAL</t>
        </is>
      </c>
      <c r="U5" s="10" t="inlineStr">
        <is>
          <t>$750 - $1,200 (Essential Setup)</t>
        </is>
      </c>
      <c r="V5" s="23" t="inlineStr">
        <is>
          <t>Local Business Visit (Claim Google Maps Listing Pitch)</t>
        </is>
      </c>
      <c r="W5" s="23" t="inlineStr">
        <is>
          <t>Unsecured local presence for Sarojini Saree House</t>
        </is>
      </c>
      <c r="X5" s="23" t="inlineStr">
        <is>
          <t>Your Google Maps profile for Sarojini Saree House is currently unclaimed, meaning anyone can change your phone number or edit your address. We can secure it today.</t>
        </is>
      </c>
      <c r="Y5" s="23" t="inlineStr">
        <is>
          <t>Profile Hijacking Risk (Unclaimed Google Maps Profile) &amp; Digital Absence</t>
        </is>
      </c>
      <c r="Z5" s="23" t="inlineStr">
        <is>
          <t>Digital Absence, Unclaimed Google Business Profile</t>
        </is>
      </c>
      <c r="AA5" s="23" t="inlineStr">
        <is>
          <t>1. Claim Google Business Profile immediately to prevent hijacking. 2. Build a secure, mobile-friendly landing page with HTTPS. 3. Standardize NAP (Name, Address, Phone) details.</t>
        </is>
      </c>
    </row>
    <row r="6" ht="270" customHeight="1">
      <c r="A6" s="24" t="inlineStr">
        <is>
          <t>BIZ-50</t>
        </is>
      </c>
      <c r="B6" s="25" t="inlineStr">
        <is>
          <t>Shimla Residency Guest House</t>
        </is>
      </c>
      <c r="C6" s="25" t="inlineStr">
        <is>
          <t>Hospitality &amp; Hotels</t>
        </is>
      </c>
      <c r="D6" s="24" t="inlineStr">
        <is>
          <t>Shimla</t>
        </is>
      </c>
      <c r="E6" s="26" t="n">
        <v>3.5</v>
      </c>
      <c r="F6" s="27" t="n">
        <v>45</v>
      </c>
      <c r="G6" s="24" t="inlineStr">
        <is>
          <t>No</t>
        </is>
      </c>
      <c r="H6" s="24" t="inlineStr">
        <is>
          <t>No Website</t>
        </is>
      </c>
      <c r="I6" s="25" t="inlineStr">
        <is>
          <t>None</t>
        </is>
      </c>
      <c r="J6" s="24" t="inlineStr">
        <is>
          <t>N/A</t>
        </is>
      </c>
      <c r="K6" s="24" t="inlineStr">
        <is>
          <t>None</t>
        </is>
      </c>
      <c r="L6" s="24" t="inlineStr">
        <is>
          <t>None</t>
        </is>
      </c>
      <c r="M6" s="24" t="inlineStr">
        <is>
          <t>N/A</t>
        </is>
      </c>
      <c r="N6" s="24" t="inlineStr">
        <is>
          <t>N/A</t>
        </is>
      </c>
      <c r="O6" s="24" t="inlineStr">
        <is>
          <t>N/A</t>
        </is>
      </c>
      <c r="P6" s="24" t="inlineStr">
        <is>
          <t>N/A</t>
        </is>
      </c>
      <c r="Q6" s="25" t="inlineStr">
        <is>
          <t>N/A</t>
        </is>
      </c>
      <c r="R6" s="28" t="n">
        <v>0</v>
      </c>
      <c r="S6" s="22" t="inlineStr">
        <is>
          <t>Very High Risk</t>
        </is>
      </c>
      <c r="T6" s="22" t="inlineStr">
        <is>
          <t>CRITICAL</t>
        </is>
      </c>
      <c r="U6" s="24" t="inlineStr">
        <is>
          <t>$750 - $1,200 (Essential Setup)</t>
        </is>
      </c>
      <c r="V6" s="29" t="inlineStr">
        <is>
          <t>Local Business Visit (Claim Google Maps Listing Pitch)</t>
        </is>
      </c>
      <c r="W6" s="29" t="inlineStr">
        <is>
          <t>Unsecured local presence for Shimla Residency Guest House</t>
        </is>
      </c>
      <c r="X6" s="29" t="inlineStr">
        <is>
          <t>Your Google Maps profile for Shimla Residency Guest House is currently unclaimed, meaning anyone can change your phone number or edit your address. We can secure it today.</t>
        </is>
      </c>
      <c r="Y6" s="29" t="inlineStr">
        <is>
          <t>Profile Hijacking Risk (Unclaimed Google Maps Profile) &amp; Digital Absence</t>
        </is>
      </c>
      <c r="Z6" s="29" t="inlineStr">
        <is>
          <t>Digital Absence, Unclaimed Google Business Profile</t>
        </is>
      </c>
      <c r="AA6" s="29" t="inlineStr">
        <is>
          <t>1. Claim Google Business Profile immediately to prevent hijacking. 2. Build a secure, mobile-friendly landing page with HTTPS. 3. Standardize NAP (Name, Address, Phone) details.</t>
        </is>
      </c>
    </row>
    <row r="7" ht="270" customHeight="1">
      <c r="A7" s="10" t="inlineStr">
        <is>
          <t>BIZ-30</t>
        </is>
      </c>
      <c r="B7" s="9" t="inlineStr">
        <is>
          <t>Coimbatore Grocery Mart</t>
        </is>
      </c>
      <c r="C7" s="9" t="inlineStr">
        <is>
          <t>Retail &amp; Shops</t>
        </is>
      </c>
      <c r="D7" s="10" t="inlineStr">
        <is>
          <t>Coimbatore</t>
        </is>
      </c>
      <c r="E7" s="19" t="n">
        <v>3.7</v>
      </c>
      <c r="F7" s="20" t="n">
        <v>35</v>
      </c>
      <c r="G7" s="10" t="inlineStr">
        <is>
          <t>No</t>
        </is>
      </c>
      <c r="H7" s="10" t="inlineStr">
        <is>
          <t>No Website</t>
        </is>
      </c>
      <c r="I7" s="9" t="inlineStr">
        <is>
          <t>None</t>
        </is>
      </c>
      <c r="J7" s="10" t="inlineStr">
        <is>
          <t>N/A</t>
        </is>
      </c>
      <c r="K7" s="10" t="inlineStr">
        <is>
          <t>None</t>
        </is>
      </c>
      <c r="L7" s="10" t="inlineStr">
        <is>
          <t>None</t>
        </is>
      </c>
      <c r="M7" s="10" t="inlineStr">
        <is>
          <t>N/A</t>
        </is>
      </c>
      <c r="N7" s="10" t="inlineStr">
        <is>
          <t>N/A</t>
        </is>
      </c>
      <c r="O7" s="10" t="inlineStr">
        <is>
          <t>N/A</t>
        </is>
      </c>
      <c r="P7" s="10" t="inlineStr">
        <is>
          <t>N/A</t>
        </is>
      </c>
      <c r="Q7" s="9" t="inlineStr">
        <is>
          <t>N/A</t>
        </is>
      </c>
      <c r="R7" s="21" t="n">
        <v>0</v>
      </c>
      <c r="S7" s="22" t="inlineStr">
        <is>
          <t>Very High Risk</t>
        </is>
      </c>
      <c r="T7" s="22" t="inlineStr">
        <is>
          <t>CRITICAL</t>
        </is>
      </c>
      <c r="U7" s="10" t="inlineStr">
        <is>
          <t>$750 - $1,200 (Essential Setup)</t>
        </is>
      </c>
      <c r="V7" s="23" t="inlineStr">
        <is>
          <t>Local Business Visit (Claim Google Maps Listing Pitch)</t>
        </is>
      </c>
      <c r="W7" s="23" t="inlineStr">
        <is>
          <t>Unsecured local presence for Coimbatore Grocery Mart</t>
        </is>
      </c>
      <c r="X7" s="23" t="inlineStr">
        <is>
          <t>Your Google Maps profile for Coimbatore Grocery Mart is currently unclaimed, meaning anyone can change your phone number or edit your address. We can secure it today.</t>
        </is>
      </c>
      <c r="Y7" s="23" t="inlineStr">
        <is>
          <t>Profile Hijacking Risk (Unclaimed Google Maps Profile) &amp; Digital Absence</t>
        </is>
      </c>
      <c r="Z7" s="23" t="inlineStr">
        <is>
          <t>Digital Absence, Unclaimed Google Business Profile</t>
        </is>
      </c>
      <c r="AA7" s="23" t="inlineStr">
        <is>
          <t>1. Claim Google Business Profile immediately to prevent hijacking. 2. Build a secure, mobile-friendly landing page with HTTPS. 3. Standardize NAP (Name, Address, Phone) details.</t>
        </is>
      </c>
    </row>
    <row r="8" ht="270" customHeight="1">
      <c r="A8" s="24" t="inlineStr">
        <is>
          <t>BIZ-39</t>
        </is>
      </c>
      <c r="B8" s="25" t="inlineStr">
        <is>
          <t>Mehta Tax Advisors</t>
        </is>
      </c>
      <c r="C8" s="25" t="inlineStr">
        <is>
          <t>Professional Services</t>
        </is>
      </c>
      <c r="D8" s="24" t="inlineStr">
        <is>
          <t>Mumbai</t>
        </is>
      </c>
      <c r="E8" s="26" t="n">
        <v>3.7</v>
      </c>
      <c r="F8" s="27" t="n">
        <v>18</v>
      </c>
      <c r="G8" s="24" t="inlineStr">
        <is>
          <t>No</t>
        </is>
      </c>
      <c r="H8" s="24" t="inlineStr">
        <is>
          <t>No Website</t>
        </is>
      </c>
      <c r="I8" s="25" t="inlineStr">
        <is>
          <t>None</t>
        </is>
      </c>
      <c r="J8" s="24" t="inlineStr">
        <is>
          <t>N/A</t>
        </is>
      </c>
      <c r="K8" s="24" t="inlineStr">
        <is>
          <t>None</t>
        </is>
      </c>
      <c r="L8" s="24" t="inlineStr">
        <is>
          <t>None</t>
        </is>
      </c>
      <c r="M8" s="24" t="inlineStr">
        <is>
          <t>N/A</t>
        </is>
      </c>
      <c r="N8" s="24" t="inlineStr">
        <is>
          <t>N/A</t>
        </is>
      </c>
      <c r="O8" s="24" t="inlineStr">
        <is>
          <t>N/A</t>
        </is>
      </c>
      <c r="P8" s="24" t="inlineStr">
        <is>
          <t>N/A</t>
        </is>
      </c>
      <c r="Q8" s="25" t="inlineStr">
        <is>
          <t>N/A</t>
        </is>
      </c>
      <c r="R8" s="28" t="n">
        <v>0</v>
      </c>
      <c r="S8" s="22" t="inlineStr">
        <is>
          <t>Very High Risk</t>
        </is>
      </c>
      <c r="T8" s="22" t="inlineStr">
        <is>
          <t>CRITICAL</t>
        </is>
      </c>
      <c r="U8" s="24" t="inlineStr">
        <is>
          <t>$750 - $1,200 (Essential Setup)</t>
        </is>
      </c>
      <c r="V8" s="29" t="inlineStr">
        <is>
          <t>Local Business Visit (Claim Google Maps Listing Pitch)</t>
        </is>
      </c>
      <c r="W8" s="29" t="inlineStr">
        <is>
          <t>Unsecured local presence for Mehta Tax Advisors</t>
        </is>
      </c>
      <c r="X8" s="29" t="inlineStr">
        <is>
          <t>Your Google Maps profile for Mehta Tax Advisors is currently unclaimed, meaning anyone can change your phone number or edit your address. We can secure it today.</t>
        </is>
      </c>
      <c r="Y8" s="29" t="inlineStr">
        <is>
          <t>Profile Hijacking Risk (Unclaimed Google Maps Profile) &amp; Digital Absence</t>
        </is>
      </c>
      <c r="Z8" s="29" t="inlineStr">
        <is>
          <t>Digital Absence, Unclaimed Google Business Profile</t>
        </is>
      </c>
      <c r="AA8" s="29" t="inlineStr">
        <is>
          <t>1. Claim Google Business Profile immediately to prevent hijacking. 2. Build a secure, mobile-friendly landing page with HTTPS. 3. Standardize NAP (Name, Address, Phone) details.</t>
        </is>
      </c>
    </row>
    <row r="9" ht="270" customHeight="1">
      <c r="A9" s="10" t="inlineStr">
        <is>
          <t>BIZ-38</t>
        </is>
      </c>
      <c r="B9" s="9" t="inlineStr">
        <is>
          <t>Gupta Chartered Accountants</t>
        </is>
      </c>
      <c r="C9" s="9" t="inlineStr">
        <is>
          <t>Professional Services</t>
        </is>
      </c>
      <c r="D9" s="10" t="inlineStr">
        <is>
          <t>Pune</t>
        </is>
      </c>
      <c r="E9" s="19" t="n">
        <v>3.8</v>
      </c>
      <c r="F9" s="20" t="n">
        <v>12</v>
      </c>
      <c r="G9" s="10" t="inlineStr">
        <is>
          <t>No</t>
        </is>
      </c>
      <c r="H9" s="10" t="inlineStr">
        <is>
          <t>No Website</t>
        </is>
      </c>
      <c r="I9" s="9" t="inlineStr">
        <is>
          <t>None</t>
        </is>
      </c>
      <c r="J9" s="10" t="inlineStr">
        <is>
          <t>N/A</t>
        </is>
      </c>
      <c r="K9" s="10" t="inlineStr">
        <is>
          <t>None</t>
        </is>
      </c>
      <c r="L9" s="10" t="inlineStr">
        <is>
          <t>None</t>
        </is>
      </c>
      <c r="M9" s="10" t="inlineStr">
        <is>
          <t>N/A</t>
        </is>
      </c>
      <c r="N9" s="10" t="inlineStr">
        <is>
          <t>N/A</t>
        </is>
      </c>
      <c r="O9" s="10" t="inlineStr">
        <is>
          <t>N/A</t>
        </is>
      </c>
      <c r="P9" s="10" t="inlineStr">
        <is>
          <t>N/A</t>
        </is>
      </c>
      <c r="Q9" s="9" t="inlineStr">
        <is>
          <t>N/A</t>
        </is>
      </c>
      <c r="R9" s="21" t="n">
        <v>0</v>
      </c>
      <c r="S9" s="22" t="inlineStr">
        <is>
          <t>Very High Risk</t>
        </is>
      </c>
      <c r="T9" s="22" t="inlineStr">
        <is>
          <t>CRITICAL</t>
        </is>
      </c>
      <c r="U9" s="10" t="inlineStr">
        <is>
          <t>$750 - $1,200 (Essential Setup)</t>
        </is>
      </c>
      <c r="V9" s="23" t="inlineStr">
        <is>
          <t>Local Business Visit (Claim Google Maps Listing Pitch)</t>
        </is>
      </c>
      <c r="W9" s="23" t="inlineStr">
        <is>
          <t>Unsecured local presence for Gupta Chartered Accountants</t>
        </is>
      </c>
      <c r="X9" s="23" t="inlineStr">
        <is>
          <t>Your Google Maps profile for Gupta Chartered Accountants is currently unclaimed, meaning anyone can change your phone number or edit your address. We can secure it today.</t>
        </is>
      </c>
      <c r="Y9" s="23" t="inlineStr">
        <is>
          <t>Profile Hijacking Risk (Unclaimed Google Maps Profile) &amp; Digital Absence</t>
        </is>
      </c>
      <c r="Z9" s="23" t="inlineStr">
        <is>
          <t>Digital Absence, Unclaimed Google Business Profile</t>
        </is>
      </c>
      <c r="AA9" s="23" t="inlineStr">
        <is>
          <t>1. Claim Google Business Profile immediately to prevent hijacking. 2. Build a secure, mobile-friendly landing page with HTTPS. 3. Standardize NAP (Name, Address, Phone) details.</t>
        </is>
      </c>
    </row>
    <row r="10" ht="270" customHeight="1">
      <c r="A10" s="24" t="inlineStr">
        <is>
          <t>BIZ-40</t>
        </is>
      </c>
      <c r="B10" s="25" t="inlineStr">
        <is>
          <t>Sharma Real Estate Consultants</t>
        </is>
      </c>
      <c r="C10" s="25" t="inlineStr">
        <is>
          <t>Professional Services</t>
        </is>
      </c>
      <c r="D10" s="24" t="inlineStr">
        <is>
          <t>Jaipur</t>
        </is>
      </c>
      <c r="E10" s="26" t="n">
        <v>3.5</v>
      </c>
      <c r="F10" s="27" t="n">
        <v>8</v>
      </c>
      <c r="G10" s="24" t="inlineStr">
        <is>
          <t>No</t>
        </is>
      </c>
      <c r="H10" s="24" t="inlineStr">
        <is>
          <t>No Website</t>
        </is>
      </c>
      <c r="I10" s="25" t="inlineStr">
        <is>
          <t>None</t>
        </is>
      </c>
      <c r="J10" s="24" t="inlineStr">
        <is>
          <t>N/A</t>
        </is>
      </c>
      <c r="K10" s="24" t="inlineStr">
        <is>
          <t>None</t>
        </is>
      </c>
      <c r="L10" s="24" t="inlineStr">
        <is>
          <t>None</t>
        </is>
      </c>
      <c r="M10" s="24" t="inlineStr">
        <is>
          <t>N/A</t>
        </is>
      </c>
      <c r="N10" s="24" t="inlineStr">
        <is>
          <t>N/A</t>
        </is>
      </c>
      <c r="O10" s="24" t="inlineStr">
        <is>
          <t>N/A</t>
        </is>
      </c>
      <c r="P10" s="24" t="inlineStr">
        <is>
          <t>N/A</t>
        </is>
      </c>
      <c r="Q10" s="25" t="inlineStr">
        <is>
          <t>N/A</t>
        </is>
      </c>
      <c r="R10" s="28" t="n">
        <v>0</v>
      </c>
      <c r="S10" s="22" t="inlineStr">
        <is>
          <t>Very High Risk</t>
        </is>
      </c>
      <c r="T10" s="22" t="inlineStr">
        <is>
          <t>CRITICAL</t>
        </is>
      </c>
      <c r="U10" s="24" t="inlineStr">
        <is>
          <t>$750 - $1,200 (Essential Setup)</t>
        </is>
      </c>
      <c r="V10" s="29" t="inlineStr">
        <is>
          <t>Local Business Visit (Claim Google Maps Listing Pitch)</t>
        </is>
      </c>
      <c r="W10" s="29" t="inlineStr">
        <is>
          <t>Unsecured local presence for Sharma Real Estate Consultants</t>
        </is>
      </c>
      <c r="X10" s="29" t="inlineStr">
        <is>
          <t>Your Google Maps profile for Sharma Real Estate Consultants is currently unclaimed, meaning anyone can change your phone number or edit your address. We can secure it today.</t>
        </is>
      </c>
      <c r="Y10" s="29" t="inlineStr">
        <is>
          <t>Profile Hijacking Risk (Unclaimed Google Maps Profile) &amp; Digital Absence</t>
        </is>
      </c>
      <c r="Z10" s="29" t="inlineStr">
        <is>
          <t>Digital Absence, Unclaimed Google Business Profile</t>
        </is>
      </c>
      <c r="AA10" s="29" t="inlineStr">
        <is>
          <t>1. Claim Google Business Profile immediately to prevent hijacking. 2. Build a secure, mobile-friendly landing page with HTTPS. 3. Standardize NAP (Name, Address, Phone) details.</t>
        </is>
      </c>
    </row>
    <row r="11" ht="396" customHeight="1">
      <c r="A11" s="10" t="inlineStr">
        <is>
          <t>BIZ-07</t>
        </is>
      </c>
      <c r="B11" s="9" t="inlineStr">
        <is>
          <t>Peter Cat</t>
        </is>
      </c>
      <c r="C11" s="9" t="inlineStr">
        <is>
          <t>Restaurants &amp; Cafes</t>
        </is>
      </c>
      <c r="D11" s="10" t="inlineStr">
        <is>
          <t>Kolkata</t>
        </is>
      </c>
      <c r="E11" s="19" t="n">
        <v>4.5</v>
      </c>
      <c r="F11" s="20" t="n">
        <v>8900</v>
      </c>
      <c r="G11" s="10" t="inlineStr">
        <is>
          <t>Yes</t>
        </is>
      </c>
      <c r="H11" s="10" t="inlineStr">
        <is>
          <t>Active</t>
        </is>
      </c>
      <c r="I11" s="9" t="inlineStr">
        <is>
          <t>http://petercatkolkata.co.in</t>
        </is>
      </c>
      <c r="J11" s="10" t="inlineStr">
        <is>
          <t>No</t>
        </is>
      </c>
      <c r="K11" s="10" t="inlineStr">
        <is>
          <t>Expired</t>
        </is>
      </c>
      <c r="L11" s="10" t="inlineStr">
        <is>
          <t>Let's Encrypt (Expired)</t>
        </is>
      </c>
      <c r="M11" s="10" t="inlineStr">
        <is>
          <t>Yes</t>
        </is>
      </c>
      <c r="N11" s="10" t="inlineStr">
        <is>
          <t>Unprotected</t>
        </is>
      </c>
      <c r="O11" s="10" t="inlineStr">
        <is>
          <t>No</t>
        </is>
      </c>
      <c r="P11" s="10" t="inlineStr">
        <is>
          <t>Clean</t>
        </is>
      </c>
      <c r="Q11" s="9" t="inlineStr">
        <is>
          <t>All Headers Missing</t>
        </is>
      </c>
      <c r="R11" s="21" t="n">
        <v>1</v>
      </c>
      <c r="S11" s="22" t="inlineStr">
        <is>
          <t>Very High Risk</t>
        </is>
      </c>
      <c r="T11" s="22" t="inlineStr">
        <is>
          <t>CRITICAL</t>
        </is>
      </c>
      <c r="U11" s="10" t="inlineStr">
        <is>
          <t>$3,500 - $5,000 (Premium Retainer)</t>
        </is>
      </c>
      <c r="V11" s="23" t="inlineStr">
        <is>
          <t>In-Person Executive Meeting (Deliver Printed Security Briefing)</t>
        </is>
      </c>
      <c r="W11" s="23" t="inlineStr">
        <is>
          <t>Urgent: Expired SSL Certificate security warning for Peter Cat</t>
        </is>
      </c>
      <c r="X11" s="23" t="inlineStr">
        <is>
          <t>Your website (http://petercatkolkata.co.in) currently triggers a red 'Your Connection is Not Private' warning in browsers. We can restore a secure SSL certificate within 2 hours.</t>
        </is>
      </c>
      <c r="Y11" s="23" t="inlineStr">
        <is>
          <t>Insecure Protocol / Missing SSL (Active Browser Security Warnings) | Exposed WordPress Admin Panel (Brute Force Vulnerability) | Insecure Webforms (Vulnerable to SQLi and Contact Spam)</t>
        </is>
      </c>
      <c r="Z11" s="23" t="inlineStr">
        <is>
          <t>No HTTPS Redirect, SSL Status: Expired, Exposed Admin Panel (/wp-admin or /admin), Unprotected Forms</t>
        </is>
      </c>
      <c r="AA11" s="23" t="inlineStr">
        <is>
          <t>Install valid SSL certificate (e.g. Let's Encrypt) and force HTTPS redirect; Restrict access to admin pages (/wp-admin, /admin) by IP address, change default URL path, and enable MFA; Implement CSRF tokens, secure input sanitization, and captchas on contact forms</t>
        </is>
      </c>
    </row>
    <row r="12" ht="396" customHeight="1">
      <c r="A12" s="24" t="inlineStr">
        <is>
          <t>BIZ-01</t>
        </is>
      </c>
      <c r="B12" s="25" t="inlineStr">
        <is>
          <t>Leopold Cafe &amp; Bar</t>
        </is>
      </c>
      <c r="C12" s="25" t="inlineStr">
        <is>
          <t>Restaurants &amp; Cafes</t>
        </is>
      </c>
      <c r="D12" s="24" t="inlineStr">
        <is>
          <t>Mumbai</t>
        </is>
      </c>
      <c r="E12" s="26" t="n">
        <v>4.2</v>
      </c>
      <c r="F12" s="27" t="n">
        <v>8400</v>
      </c>
      <c r="G12" s="24" t="inlineStr">
        <is>
          <t>Yes</t>
        </is>
      </c>
      <c r="H12" s="24" t="inlineStr">
        <is>
          <t>Active</t>
        </is>
      </c>
      <c r="I12" s="25" t="inlineStr">
        <is>
          <t>http://leopoldcafe.com</t>
        </is>
      </c>
      <c r="J12" s="24" t="inlineStr">
        <is>
          <t>No</t>
        </is>
      </c>
      <c r="K12" s="24" t="inlineStr">
        <is>
          <t>None</t>
        </is>
      </c>
      <c r="L12" s="24" t="inlineStr">
        <is>
          <t>None</t>
        </is>
      </c>
      <c r="M12" s="24" t="inlineStr">
        <is>
          <t>Yes</t>
        </is>
      </c>
      <c r="N12" s="24" t="inlineStr">
        <is>
          <t>Unprotected</t>
        </is>
      </c>
      <c r="O12" s="24" t="inlineStr">
        <is>
          <t>No</t>
        </is>
      </c>
      <c r="P12" s="24" t="inlineStr">
        <is>
          <t>Clean</t>
        </is>
      </c>
      <c r="Q12" s="25" t="inlineStr">
        <is>
          <t>X-Frame-Options, CSP, HSTS</t>
        </is>
      </c>
      <c r="R12" s="28" t="n">
        <v>1</v>
      </c>
      <c r="S12" s="22" t="inlineStr">
        <is>
          <t>Very High Risk</t>
        </is>
      </c>
      <c r="T12" s="22" t="inlineStr">
        <is>
          <t>CRITICAL</t>
        </is>
      </c>
      <c r="U12" s="24" t="inlineStr">
        <is>
          <t>$3,500 - $5,000 (Premium Retainer)</t>
        </is>
      </c>
      <c r="V12" s="29" t="inlineStr">
        <is>
          <t>In-Person Executive Meeting (Deliver Printed Security Briefing)</t>
        </is>
      </c>
      <c r="W12" s="29" t="inlineStr">
        <is>
          <t>Critical Security Warning: Insecure connection on Leopold Cafe &amp; Bar</t>
        </is>
      </c>
      <c r="X12" s="29" t="inlineStr">
        <is>
          <t>Your website (http://leopoldcafe.com) is sending customer passwords and inputs in cleartext without forcing HTTPS, prompting security warnings. We can fix it today.</t>
        </is>
      </c>
      <c r="Y12" s="29" t="inlineStr">
        <is>
          <t>Insecure Protocol / Missing SSL (Active Browser Security Warnings) | Exposed WordPress Admin Panel (Brute Force Vulnerability) | Insecure Webforms (Vulnerable to SQLi and Contact Spam)</t>
        </is>
      </c>
      <c r="Z12" s="29" t="inlineStr">
        <is>
          <t>No HTTPS Redirect, SSL Status: None, Exposed Admin Panel (/wp-admin or /admin), Unprotected Forms</t>
        </is>
      </c>
      <c r="AA12" s="29" t="inlineStr">
        <is>
          <t>Install valid SSL certificate (e.g. Let's Encrypt) and force HTTPS redirect; Restrict access to admin pages (/wp-admin, /admin) by IP address, change default URL path, and enable MFA; Implement CSRF tokens, secure input sanitization, and captchas on contact forms</t>
        </is>
      </c>
    </row>
    <row r="13" ht="522" customHeight="1">
      <c r="A13" s="10" t="inlineStr">
        <is>
          <t>BIZ-10</t>
        </is>
      </c>
      <c r="B13" s="9" t="inlineStr">
        <is>
          <t>Karim's Restaurant</t>
        </is>
      </c>
      <c r="C13" s="9" t="inlineStr">
        <is>
          <t>Restaurants &amp; Cafes</t>
        </is>
      </c>
      <c r="D13" s="10" t="inlineStr">
        <is>
          <t>Delhi</t>
        </is>
      </c>
      <c r="E13" s="19" t="n">
        <v>4.2</v>
      </c>
      <c r="F13" s="20" t="n">
        <v>5600</v>
      </c>
      <c r="G13" s="10" t="inlineStr">
        <is>
          <t>No</t>
        </is>
      </c>
      <c r="H13" s="10" t="inlineStr">
        <is>
          <t>Active</t>
        </is>
      </c>
      <c r="I13" s="9" t="inlineStr">
        <is>
          <t>http://karimsdelhi.in</t>
        </is>
      </c>
      <c r="J13" s="10" t="inlineStr">
        <is>
          <t>No</t>
        </is>
      </c>
      <c r="K13" s="10" t="inlineStr">
        <is>
          <t>None</t>
        </is>
      </c>
      <c r="L13" s="10" t="inlineStr">
        <is>
          <t>None</t>
        </is>
      </c>
      <c r="M13" s="10" t="inlineStr">
        <is>
          <t>Yes</t>
        </is>
      </c>
      <c r="N13" s="10" t="inlineStr">
        <is>
          <t>Unprotected</t>
        </is>
      </c>
      <c r="O13" s="10" t="inlineStr">
        <is>
          <t>Yes</t>
        </is>
      </c>
      <c r="P13" s="10" t="inlineStr">
        <is>
          <t>Clean</t>
        </is>
      </c>
      <c r="Q13" s="9" t="inlineStr">
        <is>
          <t>All Headers Missing</t>
        </is>
      </c>
      <c r="R13" s="21" t="n">
        <v>1</v>
      </c>
      <c r="S13" s="22" t="inlineStr">
        <is>
          <t>Very High Risk</t>
        </is>
      </c>
      <c r="T13" s="22" t="inlineStr">
        <is>
          <t>CRITICAL</t>
        </is>
      </c>
      <c r="U13" s="10" t="inlineStr">
        <is>
          <t>$3,500 - $5,000 (Premium Retainer)</t>
        </is>
      </c>
      <c r="V13" s="23" t="inlineStr">
        <is>
          <t>In-Person Executive Meeting (Deliver Printed Security Briefing)</t>
        </is>
      </c>
      <c r="W13" s="23" t="inlineStr">
        <is>
          <t>Critical Security Warning: Insecure connection on Karim's Restaurant</t>
        </is>
      </c>
      <c r="X13" s="23" t="inlineStr">
        <is>
          <t>Your website (http://karimsdelhi.in) is sending customer passwords and inputs in cleartext without forcing HTTPS, prompting security warnings. We can fix it today.</t>
        </is>
      </c>
      <c r="Y13" s="23" t="inlineStr">
        <is>
          <t>Insecure Protocol / Missing SSL (Active Browser Security Warnings) | Exposed WordPress Admin Panel (Brute Force Vulnerability) | Unclaimed Business Profile on Google Maps (Malicious Takeover Risk) | Exposed Web Directory (Insecure Server File Listings) | Insecure Webforms (Vulnerable to SQLi and Contact Spam)</t>
        </is>
      </c>
      <c r="Z13" s="23" t="inlineStr">
        <is>
          <t>No HTTPS Redirect, SSL Status: None, Exposed Admin Panel (/wp-admin or /admin), Unprotected Forms, Directory Listing Enabled</t>
        </is>
      </c>
      <c r="AA13" s="23" t="inlineStr">
        <is>
          <t>Install valid SSL certificate (e.g. Let's Encrypt) and force HTTPS redirect; Restrict access to admin pages (/wp-admin, /admin) by IP address, change default URL path, and enable MFA; Disable directory indexing in server config (.htaccess or Nginx config); Implement CSRF tokens, secure input sanitization, and captchas on contact forms</t>
        </is>
      </c>
    </row>
    <row r="14" ht="396" customHeight="1">
      <c r="A14" s="24" t="inlineStr">
        <is>
          <t>BIZ-16</t>
        </is>
      </c>
      <c r="B14" s="25" t="inlineStr">
        <is>
          <t>Ganga Hospital</t>
        </is>
      </c>
      <c r="C14" s="25" t="inlineStr">
        <is>
          <t>Healthcare &amp; Clinics</t>
        </is>
      </c>
      <c r="D14" s="24" t="inlineStr">
        <is>
          <t>Coimbatore</t>
        </is>
      </c>
      <c r="E14" s="26" t="n">
        <v>4.6</v>
      </c>
      <c r="F14" s="27" t="n">
        <v>1500</v>
      </c>
      <c r="G14" s="24" t="inlineStr">
        <is>
          <t>Yes</t>
        </is>
      </c>
      <c r="H14" s="24" t="inlineStr">
        <is>
          <t>Active</t>
        </is>
      </c>
      <c r="I14" s="25" t="inlineStr">
        <is>
          <t>http://gangahospital.co.in</t>
        </is>
      </c>
      <c r="J14" s="24" t="inlineStr">
        <is>
          <t>No</t>
        </is>
      </c>
      <c r="K14" s="24" t="inlineStr">
        <is>
          <t>None</t>
        </is>
      </c>
      <c r="L14" s="24" t="inlineStr">
        <is>
          <t>None</t>
        </is>
      </c>
      <c r="M14" s="24" t="inlineStr">
        <is>
          <t>Yes</t>
        </is>
      </c>
      <c r="N14" s="24" t="inlineStr">
        <is>
          <t>Unprotected</t>
        </is>
      </c>
      <c r="O14" s="24" t="inlineStr">
        <is>
          <t>No</t>
        </is>
      </c>
      <c r="P14" s="24" t="inlineStr">
        <is>
          <t>Clean</t>
        </is>
      </c>
      <c r="Q14" s="25" t="inlineStr">
        <is>
          <t>All Headers Missing</t>
        </is>
      </c>
      <c r="R14" s="28" t="n">
        <v>1</v>
      </c>
      <c r="S14" s="22" t="inlineStr">
        <is>
          <t>Very High Risk</t>
        </is>
      </c>
      <c r="T14" s="22" t="inlineStr">
        <is>
          <t>CRITICAL</t>
        </is>
      </c>
      <c r="U14" s="24" t="inlineStr">
        <is>
          <t>$3,500 - $5,000 (Premium Retainer)</t>
        </is>
      </c>
      <c r="V14" s="29" t="inlineStr">
        <is>
          <t>In-Person Executive Meeting (Deliver Printed Security Briefing)</t>
        </is>
      </c>
      <c r="W14" s="29" t="inlineStr">
        <is>
          <t>Critical Security Warning: Insecure connection on Ganga Hospital</t>
        </is>
      </c>
      <c r="X14" s="29" t="inlineStr">
        <is>
          <t>Your website (http://gangahospital.co.in) is sending customer passwords and inputs in cleartext without forcing HTTPS, prompting security warnings. We can fix it today.</t>
        </is>
      </c>
      <c r="Y14" s="29" t="inlineStr">
        <is>
          <t>Insecure Protocol / Missing SSL (Active Browser Security Warnings) | Exposed WordPress Admin Panel (Brute Force Vulnerability) | Insecure Webforms (Vulnerable to SQLi and Contact Spam)</t>
        </is>
      </c>
      <c r="Z14" s="29" t="inlineStr">
        <is>
          <t>No HTTPS Redirect, SSL Status: None, Exposed Admin Panel (/wp-admin or /admin), Unprotected Forms</t>
        </is>
      </c>
      <c r="AA14" s="29" t="inlineStr">
        <is>
          <t>Install valid SSL certificate (e.g. Let's Encrypt) and force HTTPS redirect; Restrict access to admin pages (/wp-admin, /admin) by IP address, change default URL path, and enable MFA; Implement CSRF tokens, secure input sanitization, and captchas on contact forms</t>
        </is>
      </c>
    </row>
    <row r="15" ht="378" customHeight="1">
      <c r="A15" s="10" t="inlineStr">
        <is>
          <t>BIZ-19</t>
        </is>
      </c>
      <c r="B15" s="9" t="inlineStr">
        <is>
          <t>Dr. Mehta's Hospitals</t>
        </is>
      </c>
      <c r="C15" s="9" t="inlineStr">
        <is>
          <t>Healthcare &amp; Clinics</t>
        </is>
      </c>
      <c r="D15" s="10" t="inlineStr">
        <is>
          <t>Chennai</t>
        </is>
      </c>
      <c r="E15" s="19" t="n">
        <v>3.9</v>
      </c>
      <c r="F15" s="20" t="n">
        <v>950</v>
      </c>
      <c r="G15" s="10" t="inlineStr">
        <is>
          <t>Yes</t>
        </is>
      </c>
      <c r="H15" s="10" t="inlineStr">
        <is>
          <t>Active</t>
        </is>
      </c>
      <c r="I15" s="9" t="inlineStr">
        <is>
          <t>http://mehtahospitals.com</t>
        </is>
      </c>
      <c r="J15" s="10" t="inlineStr">
        <is>
          <t>No</t>
        </is>
      </c>
      <c r="K15" s="10" t="inlineStr">
        <is>
          <t>Expired</t>
        </is>
      </c>
      <c r="L15" s="10" t="inlineStr">
        <is>
          <t>Let's Encrypt (Expired)</t>
        </is>
      </c>
      <c r="M15" s="10" t="inlineStr">
        <is>
          <t>No</t>
        </is>
      </c>
      <c r="N15" s="10" t="inlineStr">
        <is>
          <t>Unprotected</t>
        </is>
      </c>
      <c r="O15" s="10" t="inlineStr">
        <is>
          <t>No</t>
        </is>
      </c>
      <c r="P15" s="10" t="inlineStr">
        <is>
          <t>Suspicious</t>
        </is>
      </c>
      <c r="Q15" s="9" t="inlineStr">
        <is>
          <t>All Headers Missing</t>
        </is>
      </c>
      <c r="R15" s="21" t="n">
        <v>1</v>
      </c>
      <c r="S15" s="22" t="inlineStr">
        <is>
          <t>Very High Risk</t>
        </is>
      </c>
      <c r="T15" s="22" t="inlineStr">
        <is>
          <t>CRITICAL</t>
        </is>
      </c>
      <c r="U15" s="10" t="inlineStr">
        <is>
          <t>$1,500 - $2,500 (Standard Setup)</t>
        </is>
      </c>
      <c r="V15" s="23" t="inlineStr">
        <is>
          <t>Direct Email Outreach + Safe Browsing Alert PDF</t>
        </is>
      </c>
      <c r="W15" s="23" t="inlineStr">
        <is>
          <t>Urgent: Expired SSL Certificate security warning for Dr. Mehta's Hospitals</t>
        </is>
      </c>
      <c r="X15" s="23" t="inlineStr">
        <is>
          <t>Your website (http://mehtahospitals.com) currently triggers a red 'Your Connection is Not Private' warning in browsers. We can restore a secure SSL certificate within 2 hours.</t>
        </is>
      </c>
      <c r="Y15" s="23" t="inlineStr">
        <is>
          <t>Insecure Protocol / Missing SSL (Active Browser Security Warnings) | Insecure Webforms (Vulnerable to SQLi and Contact Spam) | Phishing/Malware Flags Detected on Domain</t>
        </is>
      </c>
      <c r="Z15" s="23" t="inlineStr">
        <is>
          <t>No HTTPS Redirect, SSL Status: Expired, Unprotected Forms, Safe Browsing: Suspicious</t>
        </is>
      </c>
      <c r="AA15" s="23" t="inlineStr">
        <is>
          <t>Install valid SSL certificate (e.g. Let's Encrypt) and force HTTPS redirect; Implement CSRF tokens, secure input sanitization, and captchas on contact forms; Run security malware scans, remove malicious scripts, and request Google review of blacklist</t>
        </is>
      </c>
    </row>
    <row r="16" ht="396" customHeight="1">
      <c r="A16" s="24" t="inlineStr">
        <is>
          <t>BIZ-28</t>
        </is>
      </c>
      <c r="B16" s="25" t="inlineStr">
        <is>
          <t>Kalaniketan Colaba</t>
        </is>
      </c>
      <c r="C16" s="25" t="inlineStr">
        <is>
          <t>Retail &amp; Shops</t>
        </is>
      </c>
      <c r="D16" s="24" t="inlineStr">
        <is>
          <t>Mumbai</t>
        </is>
      </c>
      <c r="E16" s="26" t="n">
        <v>4</v>
      </c>
      <c r="F16" s="27" t="n">
        <v>720</v>
      </c>
      <c r="G16" s="24" t="inlineStr">
        <is>
          <t>Yes</t>
        </is>
      </c>
      <c r="H16" s="24" t="inlineStr">
        <is>
          <t>Active</t>
        </is>
      </c>
      <c r="I16" s="25" t="inlineStr">
        <is>
          <t>http://kalaniketancolaba.in</t>
        </is>
      </c>
      <c r="J16" s="24" t="inlineStr">
        <is>
          <t>No</t>
        </is>
      </c>
      <c r="K16" s="24" t="inlineStr">
        <is>
          <t>None</t>
        </is>
      </c>
      <c r="L16" s="24" t="inlineStr">
        <is>
          <t>None</t>
        </is>
      </c>
      <c r="M16" s="24" t="inlineStr">
        <is>
          <t>Yes</t>
        </is>
      </c>
      <c r="N16" s="24" t="inlineStr">
        <is>
          <t>Unprotected</t>
        </is>
      </c>
      <c r="O16" s="24" t="inlineStr">
        <is>
          <t>No</t>
        </is>
      </c>
      <c r="P16" s="24" t="inlineStr">
        <is>
          <t>Clean</t>
        </is>
      </c>
      <c r="Q16" s="25" t="inlineStr">
        <is>
          <t>All Headers Missing</t>
        </is>
      </c>
      <c r="R16" s="28" t="n">
        <v>1</v>
      </c>
      <c r="S16" s="22" t="inlineStr">
        <is>
          <t>Very High Risk</t>
        </is>
      </c>
      <c r="T16" s="22" t="inlineStr">
        <is>
          <t>CRITICAL</t>
        </is>
      </c>
      <c r="U16" s="24" t="inlineStr">
        <is>
          <t>$1,500 - $2,500 (Standard Setup)</t>
        </is>
      </c>
      <c r="V16" s="29" t="inlineStr">
        <is>
          <t>Direct Email Outreach + Safe Browsing Alert PDF</t>
        </is>
      </c>
      <c r="W16" s="29" t="inlineStr">
        <is>
          <t>Critical Security Warning: Insecure connection on Kalaniketan Colaba</t>
        </is>
      </c>
      <c r="X16" s="29" t="inlineStr">
        <is>
          <t>Your website (http://kalaniketancolaba.in) is sending customer passwords and inputs in cleartext without forcing HTTPS, prompting security warnings. We can fix it today.</t>
        </is>
      </c>
      <c r="Y16" s="29" t="inlineStr">
        <is>
          <t>Insecure Protocol / Missing SSL (Active Browser Security Warnings) | Exposed WordPress Admin Panel (Brute Force Vulnerability) | Insecure Webforms (Vulnerable to SQLi and Contact Spam)</t>
        </is>
      </c>
      <c r="Z16" s="29" t="inlineStr">
        <is>
          <t>No HTTPS Redirect, SSL Status: None, Exposed Admin Panel (/wp-admin or /admin), Unprotected Forms</t>
        </is>
      </c>
      <c r="AA16" s="29" t="inlineStr">
        <is>
          <t>Install valid SSL certificate (e.g. Let's Encrypt) and force HTTPS redirect; Restrict access to admin pages (/wp-admin, /admin) by IP address, change default URL path, and enable MFA; Implement CSRF tokens, secure input sanitization, and captchas on contact forms</t>
        </is>
      </c>
    </row>
    <row r="17" ht="252" customHeight="1">
      <c r="A17" s="10" t="inlineStr">
        <is>
          <t>BIZ-09</t>
        </is>
      </c>
      <c r="B17" s="9" t="inlineStr">
        <is>
          <t>Britto's Restaurant &amp; Bar</t>
        </is>
      </c>
      <c r="C17" s="9" t="inlineStr">
        <is>
          <t>Restaurants &amp; Cafes</t>
        </is>
      </c>
      <c r="D17" s="10" t="inlineStr">
        <is>
          <t>Goa</t>
        </is>
      </c>
      <c r="E17" s="19" t="n">
        <v>4.1</v>
      </c>
      <c r="F17" s="20" t="n">
        <v>11500</v>
      </c>
      <c r="G17" s="10" t="inlineStr">
        <is>
          <t>Yes</t>
        </is>
      </c>
      <c r="H17" s="10" t="inlineStr">
        <is>
          <t>Active</t>
        </is>
      </c>
      <c r="I17" s="9" t="inlineStr">
        <is>
          <t>http://brittosgoa.com</t>
        </is>
      </c>
      <c r="J17" s="10" t="inlineStr">
        <is>
          <t>No</t>
        </is>
      </c>
      <c r="K17" s="10" t="inlineStr">
        <is>
          <t>None</t>
        </is>
      </c>
      <c r="L17" s="10" t="inlineStr">
        <is>
          <t>None</t>
        </is>
      </c>
      <c r="M17" s="10" t="inlineStr">
        <is>
          <t>No</t>
        </is>
      </c>
      <c r="N17" s="10" t="inlineStr">
        <is>
          <t>Unprotected</t>
        </is>
      </c>
      <c r="O17" s="10" t="inlineStr">
        <is>
          <t>No</t>
        </is>
      </c>
      <c r="P17" s="10" t="inlineStr">
        <is>
          <t>Clean</t>
        </is>
      </c>
      <c r="Q17" s="9" t="inlineStr">
        <is>
          <t>X-Frame-Options, CSP</t>
        </is>
      </c>
      <c r="R17" s="21" t="n">
        <v>2</v>
      </c>
      <c r="S17" s="30" t="inlineStr">
        <is>
          <t>High Risk</t>
        </is>
      </c>
      <c r="T17" s="22" t="inlineStr">
        <is>
          <t>CRITICAL</t>
        </is>
      </c>
      <c r="U17" s="10" t="inlineStr">
        <is>
          <t>$3,500 - $5,000 (Premium Retainer)</t>
        </is>
      </c>
      <c r="V17" s="23" t="inlineStr">
        <is>
          <t>In-Person Executive Meeting (Deliver Printed Security Briefing)</t>
        </is>
      </c>
      <c r="W17" s="23" t="inlineStr">
        <is>
          <t>Critical Security Warning: Insecure connection on Britto's Restaurant &amp; Bar</t>
        </is>
      </c>
      <c r="X17" s="23" t="inlineStr">
        <is>
          <t>Your website (http://brittosgoa.com) is sending customer passwords and inputs in cleartext without forcing HTTPS, prompting security warnings. We can fix it today.</t>
        </is>
      </c>
      <c r="Y17" s="23" t="inlineStr">
        <is>
          <t>Insecure Protocol / Missing SSL (Active Browser Security Warnings) | Insecure Webforms (Vulnerable to SQLi and Contact Spam)</t>
        </is>
      </c>
      <c r="Z17" s="23" t="inlineStr">
        <is>
          <t>No HTTPS Redirect, SSL Status: None, Unprotected Forms</t>
        </is>
      </c>
      <c r="AA17" s="23" t="inlineStr">
        <is>
          <t>Install valid SSL certificate (e.g. Let's Encrypt) and force HTTPS redirect; Implement CSRF tokens, secure input sanitization, and captchas on contact forms</t>
        </is>
      </c>
    </row>
    <row r="18" ht="360" customHeight="1">
      <c r="A18" s="24" t="inlineStr">
        <is>
          <t>BIZ-04</t>
        </is>
      </c>
      <c r="B18" s="25" t="inlineStr">
        <is>
          <t>Flurys</t>
        </is>
      </c>
      <c r="C18" s="25" t="inlineStr">
        <is>
          <t>Restaurants &amp; Cafes</t>
        </is>
      </c>
      <c r="D18" s="24" t="inlineStr">
        <is>
          <t>Kolkata</t>
        </is>
      </c>
      <c r="E18" s="26" t="n">
        <v>4.3</v>
      </c>
      <c r="F18" s="27" t="n">
        <v>4500</v>
      </c>
      <c r="G18" s="24" t="inlineStr">
        <is>
          <t>Yes</t>
        </is>
      </c>
      <c r="H18" s="24" t="inlineStr">
        <is>
          <t>Active</t>
        </is>
      </c>
      <c r="I18" s="25" t="inlineStr">
        <is>
          <t>http://flurys.com</t>
        </is>
      </c>
      <c r="J18" s="24" t="inlineStr">
        <is>
          <t>No</t>
        </is>
      </c>
      <c r="K18" s="24" t="inlineStr">
        <is>
          <t>None</t>
        </is>
      </c>
      <c r="L18" s="24" t="inlineStr">
        <is>
          <t>None</t>
        </is>
      </c>
      <c r="M18" s="24" t="inlineStr">
        <is>
          <t>No</t>
        </is>
      </c>
      <c r="N18" s="24" t="inlineStr">
        <is>
          <t>Unprotected</t>
        </is>
      </c>
      <c r="O18" s="24" t="inlineStr">
        <is>
          <t>Yes</t>
        </is>
      </c>
      <c r="P18" s="24" t="inlineStr">
        <is>
          <t>Clean</t>
        </is>
      </c>
      <c r="Q18" s="25" t="inlineStr">
        <is>
          <t>All Headers Missing</t>
        </is>
      </c>
      <c r="R18" s="28" t="n">
        <v>2</v>
      </c>
      <c r="S18" s="30" t="inlineStr">
        <is>
          <t>High Risk</t>
        </is>
      </c>
      <c r="T18" s="22" t="inlineStr">
        <is>
          <t>CRITICAL</t>
        </is>
      </c>
      <c r="U18" s="24" t="inlineStr">
        <is>
          <t>$3,500 - $5,000 (Premium Retainer)</t>
        </is>
      </c>
      <c r="V18" s="29" t="inlineStr">
        <is>
          <t>In-Person Executive Meeting (Deliver Printed Security Briefing)</t>
        </is>
      </c>
      <c r="W18" s="29" t="inlineStr">
        <is>
          <t>Critical Security Warning: Insecure connection on Flurys</t>
        </is>
      </c>
      <c r="X18" s="29" t="inlineStr">
        <is>
          <t>Your website (http://flurys.com) is sending customer passwords and inputs in cleartext without forcing HTTPS, prompting security warnings. We can fix it today.</t>
        </is>
      </c>
      <c r="Y18" s="29" t="inlineStr">
        <is>
          <t>Insecure Protocol / Missing SSL (Active Browser Security Warnings) | Exposed Web Directory (Insecure Server File Listings) | Insecure Webforms (Vulnerable to SQLi and Contact Spam)</t>
        </is>
      </c>
      <c r="Z18" s="29" t="inlineStr">
        <is>
          <t>No HTTPS Redirect, SSL Status: None, Unprotected Forms, Directory Listing Enabled</t>
        </is>
      </c>
      <c r="AA18" s="29" t="inlineStr">
        <is>
          <t>Install valid SSL certificate (e.g. Let's Encrypt) and force HTTPS redirect; Disable directory indexing in server config (.htaccess or Nginx config); Implement CSRF tokens, secure input sanitization, and captchas on contact forms</t>
        </is>
      </c>
    </row>
    <row r="19" ht="270" customHeight="1">
      <c r="A19" s="10" t="inlineStr">
        <is>
          <t>BIZ-25</t>
        </is>
      </c>
      <c r="B19" s="9" t="inlineStr">
        <is>
          <t>Mysore Silk Udyog</t>
        </is>
      </c>
      <c r="C19" s="9" t="inlineStr">
        <is>
          <t>Retail &amp; Shops</t>
        </is>
      </c>
      <c r="D19" s="10" t="inlineStr">
        <is>
          <t>Bengaluru</t>
        </is>
      </c>
      <c r="E19" s="19" t="n">
        <v>4.1</v>
      </c>
      <c r="F19" s="20" t="n">
        <v>1200</v>
      </c>
      <c r="G19" s="10" t="inlineStr">
        <is>
          <t>Yes</t>
        </is>
      </c>
      <c r="H19" s="10" t="inlineStr">
        <is>
          <t>Active</t>
        </is>
      </c>
      <c r="I19" s="9" t="inlineStr">
        <is>
          <t>http://mysoresilkudyog.com</t>
        </is>
      </c>
      <c r="J19" s="10" t="inlineStr">
        <is>
          <t>No</t>
        </is>
      </c>
      <c r="K19" s="10" t="inlineStr">
        <is>
          <t>None</t>
        </is>
      </c>
      <c r="L19" s="10" t="inlineStr">
        <is>
          <t>None</t>
        </is>
      </c>
      <c r="M19" s="10" t="inlineStr">
        <is>
          <t>No</t>
        </is>
      </c>
      <c r="N19" s="10" t="inlineStr">
        <is>
          <t>Unprotected</t>
        </is>
      </c>
      <c r="O19" s="10" t="inlineStr">
        <is>
          <t>No</t>
        </is>
      </c>
      <c r="P19" s="10" t="inlineStr">
        <is>
          <t>Clean</t>
        </is>
      </c>
      <c r="Q19" s="9" t="inlineStr">
        <is>
          <t>X-Frame-Options</t>
        </is>
      </c>
      <c r="R19" s="21" t="n">
        <v>2</v>
      </c>
      <c r="S19" s="30" t="inlineStr">
        <is>
          <t>High Risk</t>
        </is>
      </c>
      <c r="T19" s="22" t="inlineStr">
        <is>
          <t>CRITICAL</t>
        </is>
      </c>
      <c r="U19" s="10" t="inlineStr">
        <is>
          <t>$3,500 - $5,000 (Premium Retainer)</t>
        </is>
      </c>
      <c r="V19" s="23" t="inlineStr">
        <is>
          <t>In-Person Executive Meeting (Deliver Printed Security Briefing)</t>
        </is>
      </c>
      <c r="W19" s="23" t="inlineStr">
        <is>
          <t>Critical Security Warning: Insecure connection on Mysore Silk Udyog</t>
        </is>
      </c>
      <c r="X19" s="23" t="inlineStr">
        <is>
          <t>Your website (http://mysoresilkudyog.com) is sending customer passwords and inputs in cleartext without forcing HTTPS, prompting security warnings. We can fix it today.</t>
        </is>
      </c>
      <c r="Y19" s="23" t="inlineStr">
        <is>
          <t>Insecure Protocol / Missing SSL (Active Browser Security Warnings) | Insecure Webforms (Vulnerable to SQLi and Contact Spam)</t>
        </is>
      </c>
      <c r="Z19" s="23" t="inlineStr">
        <is>
          <t>No HTTPS Redirect, SSL Status: None, Unprotected Forms</t>
        </is>
      </c>
      <c r="AA19" s="23" t="inlineStr">
        <is>
          <t>Install valid SSL certificate (e.g. Let's Encrypt) and force HTTPS redirect; Implement CSRF tokens, secure input sanitization, and captchas on contact forms</t>
        </is>
      </c>
    </row>
    <row r="20" ht="270" customHeight="1">
      <c r="A20" s="24" t="inlineStr">
        <is>
          <t>BIZ-49</t>
        </is>
      </c>
      <c r="B20" s="25" t="inlineStr">
        <is>
          <t>Gokulam Park Plaza</t>
        </is>
      </c>
      <c r="C20" s="25" t="inlineStr">
        <is>
          <t>Hospitality &amp; Hotels</t>
        </is>
      </c>
      <c r="D20" s="24" t="inlineStr">
        <is>
          <t>Kochi</t>
        </is>
      </c>
      <c r="E20" s="26" t="n">
        <v>4</v>
      </c>
      <c r="F20" s="27" t="n">
        <v>750</v>
      </c>
      <c r="G20" s="24" t="inlineStr">
        <is>
          <t>Yes</t>
        </is>
      </c>
      <c r="H20" s="24" t="inlineStr">
        <is>
          <t>Active</t>
        </is>
      </c>
      <c r="I20" s="25" t="inlineStr">
        <is>
          <t>http://gokulampark.co.in</t>
        </is>
      </c>
      <c r="J20" s="24" t="inlineStr">
        <is>
          <t>No</t>
        </is>
      </c>
      <c r="K20" s="24" t="inlineStr">
        <is>
          <t>Expired</t>
        </is>
      </c>
      <c r="L20" s="24" t="inlineStr">
        <is>
          <t>Let's Encrypt (Expired)</t>
        </is>
      </c>
      <c r="M20" s="24" t="inlineStr">
        <is>
          <t>No</t>
        </is>
      </c>
      <c r="N20" s="24" t="inlineStr">
        <is>
          <t>Unprotected</t>
        </is>
      </c>
      <c r="O20" s="24" t="inlineStr">
        <is>
          <t>No</t>
        </is>
      </c>
      <c r="P20" s="24" t="inlineStr">
        <is>
          <t>Clean</t>
        </is>
      </c>
      <c r="Q20" s="25" t="inlineStr">
        <is>
          <t>All Headers Missing</t>
        </is>
      </c>
      <c r="R20" s="28" t="n">
        <v>2</v>
      </c>
      <c r="S20" s="30" t="inlineStr">
        <is>
          <t>High Risk</t>
        </is>
      </c>
      <c r="T20" s="22" t="inlineStr">
        <is>
          <t>CRITICAL</t>
        </is>
      </c>
      <c r="U20" s="24" t="inlineStr">
        <is>
          <t>$1,500 - $2,500 (Standard Setup)</t>
        </is>
      </c>
      <c r="V20" s="29" t="inlineStr">
        <is>
          <t>Direct Email Outreach + Safe Browsing Alert PDF</t>
        </is>
      </c>
      <c r="W20" s="29" t="inlineStr">
        <is>
          <t>Urgent: Expired SSL Certificate security warning for Gokulam Park Plaza</t>
        </is>
      </c>
      <c r="X20" s="29" t="inlineStr">
        <is>
          <t>Your website (http://gokulampark.co.in) currently triggers a red 'Your Connection is Not Private' warning in browsers. We can restore a secure SSL certificate within 2 hours.</t>
        </is>
      </c>
      <c r="Y20" s="29" t="inlineStr">
        <is>
          <t>Insecure Protocol / Missing SSL (Active Browser Security Warnings) | Insecure Webforms (Vulnerable to SQLi and Contact Spam)</t>
        </is>
      </c>
      <c r="Z20" s="29" t="inlineStr">
        <is>
          <t>No HTTPS Redirect, SSL Status: Expired, Unprotected Forms</t>
        </is>
      </c>
      <c r="AA20" s="29" t="inlineStr">
        <is>
          <t>Install valid SSL certificate (e.g. Let's Encrypt) and force HTTPS redirect; Implement CSRF tokens, secure input sanitization, and captchas on contact forms</t>
        </is>
      </c>
    </row>
    <row r="21" ht="270" customHeight="1">
      <c r="A21" s="10" t="inlineStr">
        <is>
          <t>BIZ-02</t>
        </is>
      </c>
      <c r="B21" s="9" t="inlineStr">
        <is>
          <t>Toit Brewpub</t>
        </is>
      </c>
      <c r="C21" s="9" t="inlineStr">
        <is>
          <t>Restaurants &amp; Cafes</t>
        </is>
      </c>
      <c r="D21" s="10" t="inlineStr">
        <is>
          <t>Bengaluru</t>
        </is>
      </c>
      <c r="E21" s="19" t="n">
        <v>4.6</v>
      </c>
      <c r="F21" s="20" t="n">
        <v>9800</v>
      </c>
      <c r="G21" s="10" t="inlineStr">
        <is>
          <t>Yes</t>
        </is>
      </c>
      <c r="H21" s="10" t="inlineStr">
        <is>
          <t>Active</t>
        </is>
      </c>
      <c r="I21" s="9" t="inlineStr">
        <is>
          <t>https://toit.in</t>
        </is>
      </c>
      <c r="J21" s="10" t="inlineStr">
        <is>
          <t>Yes</t>
        </is>
      </c>
      <c r="K21" s="10" t="inlineStr">
        <is>
          <t>Valid</t>
        </is>
      </c>
      <c r="L21" s="10" t="inlineStr">
        <is>
          <t>Let's Encrypt</t>
        </is>
      </c>
      <c r="M21" s="10" t="inlineStr">
        <is>
          <t>Yes</t>
        </is>
      </c>
      <c r="N21" s="10" t="inlineStr">
        <is>
          <t>Protected</t>
        </is>
      </c>
      <c r="O21" s="10" t="inlineStr">
        <is>
          <t>No</t>
        </is>
      </c>
      <c r="P21" s="10" t="inlineStr">
        <is>
          <t>Clean</t>
        </is>
      </c>
      <c r="Q21" s="9" t="inlineStr">
        <is>
          <t>CSP, HSTS</t>
        </is>
      </c>
      <c r="R21" s="21" t="n">
        <v>4</v>
      </c>
      <c r="S21" s="31" t="inlineStr">
        <is>
          <t>Secure</t>
        </is>
      </c>
      <c r="T21" s="32" t="inlineStr">
        <is>
          <t>LOW</t>
        </is>
      </c>
      <c r="U21" s="10" t="inlineStr">
        <is>
          <t>$250 (Routine Audit / Audit Retainer)</t>
        </is>
      </c>
      <c r="V21" s="23" t="inlineStr">
        <is>
          <t>LinkedIn Outreach to Owner / Operations Manager</t>
        </is>
      </c>
      <c r="W21" s="23" t="inlineStr">
        <is>
          <t>Security Risk Alert: Exposed WordPress admin panel on Toit Brewpub</t>
        </is>
      </c>
      <c r="X21" s="23" t="inlineStr">
        <is>
          <t>Your administrative login page is accessible to anyone at https://toit.in/wp-admin, leaving you open to brute-force credential stuffing. We can restrict this immediately.</t>
        </is>
      </c>
      <c r="Y21" s="23" t="inlineStr">
        <is>
          <t>Exposed WordPress Admin Panel (Brute Force Vulnerability)</t>
        </is>
      </c>
      <c r="Z21" s="23" t="inlineStr">
        <is>
          <t>Exposed Admin Panel (/wp-admin or /admin)</t>
        </is>
      </c>
      <c r="AA21" s="23" t="inlineStr">
        <is>
          <t>Restrict access to admin pages (/wp-admin, /admin) by IP address, change default URL path, and enable MFA</t>
        </is>
      </c>
    </row>
    <row r="22" ht="270" customHeight="1">
      <c r="A22" s="24" t="inlineStr">
        <is>
          <t>BIZ-03</t>
        </is>
      </c>
      <c r="B22" s="25" t="inlineStr">
        <is>
          <t>Glen's Bakehouse</t>
        </is>
      </c>
      <c r="C22" s="25" t="inlineStr">
        <is>
          <t>Restaurants &amp; Cafes</t>
        </is>
      </c>
      <c r="D22" s="24" t="inlineStr">
        <is>
          <t>Bengaluru</t>
        </is>
      </c>
      <c r="E22" s="26" t="n">
        <v>4.4</v>
      </c>
      <c r="F22" s="27" t="n">
        <v>3200</v>
      </c>
      <c r="G22" s="24" t="inlineStr">
        <is>
          <t>Yes</t>
        </is>
      </c>
      <c r="H22" s="24" t="inlineStr">
        <is>
          <t>Active</t>
        </is>
      </c>
      <c r="I22" s="25" t="inlineStr">
        <is>
          <t>https://glensbakehouse.com</t>
        </is>
      </c>
      <c r="J22" s="24" t="inlineStr">
        <is>
          <t>Yes</t>
        </is>
      </c>
      <c r="K22" s="24" t="inlineStr">
        <is>
          <t>Valid</t>
        </is>
      </c>
      <c r="L22" s="24" t="inlineStr">
        <is>
          <t>Cloudflare</t>
        </is>
      </c>
      <c r="M22" s="24" t="inlineStr">
        <is>
          <t>No</t>
        </is>
      </c>
      <c r="N22" s="24" t="inlineStr">
        <is>
          <t>Unprotected</t>
        </is>
      </c>
      <c r="O22" s="24" t="inlineStr">
        <is>
          <t>No</t>
        </is>
      </c>
      <c r="P22" s="24" t="inlineStr">
        <is>
          <t>Clean</t>
        </is>
      </c>
      <c r="Q22" s="25" t="inlineStr">
        <is>
          <t>None</t>
        </is>
      </c>
      <c r="R22" s="28" t="n">
        <v>4</v>
      </c>
      <c r="S22" s="31" t="inlineStr">
        <is>
          <t>Secure</t>
        </is>
      </c>
      <c r="T22" s="32" t="inlineStr">
        <is>
          <t>LOW</t>
        </is>
      </c>
      <c r="U22" s="24" t="inlineStr">
        <is>
          <t>$250 (Routine Audit / Audit Retainer)</t>
        </is>
      </c>
      <c r="V22" s="29" t="inlineStr">
        <is>
          <t>LinkedIn Outreach to Owner / Operations Manager</t>
        </is>
      </c>
      <c r="W22" s="29" t="inlineStr">
        <is>
          <t>Digital Security Posture Review for Glen's Bakehouse</t>
        </is>
      </c>
      <c r="X22" s="29" t="inlineStr">
        <is>
          <t>We have run a digital presence scan on Glen's Bakehouse and verified that your primary protocols are secure. We offer routine scanning packages to maintain this posture.</t>
        </is>
      </c>
      <c r="Y22" s="29" t="inlineStr">
        <is>
          <t>Insecure Webforms (Vulnerable to SQLi and Contact Spam)</t>
        </is>
      </c>
      <c r="Z22" s="29" t="inlineStr">
        <is>
          <t>Unprotected Forms</t>
        </is>
      </c>
      <c r="AA22" s="29" t="inlineStr">
        <is>
          <t>Implement CSRF tokens, secure input sanitization, and captchas on contact forms</t>
        </is>
      </c>
    </row>
    <row r="23" ht="270" customHeight="1">
      <c r="A23" s="10" t="inlineStr">
        <is>
          <t>BIZ-06</t>
        </is>
      </c>
      <c r="B23" s="9" t="inlineStr">
        <is>
          <t>Paradise Biryani</t>
        </is>
      </c>
      <c r="C23" s="9" t="inlineStr">
        <is>
          <t>Restaurants &amp; Cafes</t>
        </is>
      </c>
      <c r="D23" s="10" t="inlineStr">
        <is>
          <t>Hyderabad</t>
        </is>
      </c>
      <c r="E23" s="19" t="n">
        <v>4</v>
      </c>
      <c r="F23" s="20" t="n">
        <v>18500</v>
      </c>
      <c r="G23" s="10" t="inlineStr">
        <is>
          <t>Yes</t>
        </is>
      </c>
      <c r="H23" s="10" t="inlineStr">
        <is>
          <t>Active</t>
        </is>
      </c>
      <c r="I23" s="9" t="inlineStr">
        <is>
          <t>https://paradisebiryani.com</t>
        </is>
      </c>
      <c r="J23" s="10" t="inlineStr">
        <is>
          <t>Yes</t>
        </is>
      </c>
      <c r="K23" s="10" t="inlineStr">
        <is>
          <t>Valid</t>
        </is>
      </c>
      <c r="L23" s="10" t="inlineStr">
        <is>
          <t>Sectigo</t>
        </is>
      </c>
      <c r="M23" s="10" t="inlineStr">
        <is>
          <t>No</t>
        </is>
      </c>
      <c r="N23" s="10" t="inlineStr">
        <is>
          <t>Protected</t>
        </is>
      </c>
      <c r="O23" s="10" t="inlineStr">
        <is>
          <t>No</t>
        </is>
      </c>
      <c r="P23" s="10" t="inlineStr">
        <is>
          <t>Clean</t>
        </is>
      </c>
      <c r="Q23" s="9" t="inlineStr">
        <is>
          <t>X-Frame-Options</t>
        </is>
      </c>
      <c r="R23" s="21" t="n">
        <v>5</v>
      </c>
      <c r="S23" s="32" t="inlineStr">
        <is>
          <t>Very Secure</t>
        </is>
      </c>
      <c r="T23" s="32" t="inlineStr">
        <is>
          <t>LOW</t>
        </is>
      </c>
      <c r="U23" s="10" t="inlineStr">
        <is>
          <t>$250 (Routine Audit / Audit Retainer)</t>
        </is>
      </c>
      <c r="V23" s="23" t="inlineStr">
        <is>
          <t>LinkedIn Outreach to Owner / Operations Manager</t>
        </is>
      </c>
      <c r="W23" s="23" t="inlineStr">
        <is>
          <t>Digital Security Posture Review for Paradise Biryani</t>
        </is>
      </c>
      <c r="X23" s="23" t="inlineStr">
        <is>
          <t>We have run a digital presence scan on Paradise Biryani and verified that your primary protocols are secure. We offer routine scanning packages to maintain this posture.</t>
        </is>
      </c>
      <c r="Y23" s="23" t="inlineStr">
        <is>
          <t>General Maintenance &amp; Continuous Security Penetration Scanning</t>
        </is>
      </c>
      <c r="Z23" s="23" t="inlineStr">
        <is>
          <t>None (All Secure)</t>
        </is>
      </c>
      <c r="AA23" s="23" t="inlineStr">
        <is>
          <t>Maintain existing secure posture. Schedule routine security auditing and patch CMS regularly.</t>
        </is>
      </c>
    </row>
    <row r="24" ht="270" customHeight="1">
      <c r="A24" s="24" t="inlineStr">
        <is>
          <t>BIZ-41</t>
        </is>
      </c>
      <c r="B24" s="25" t="inlineStr">
        <is>
          <t>Taj Mahal Palace Colaba</t>
        </is>
      </c>
      <c r="C24" s="25" t="inlineStr">
        <is>
          <t>Hospitality &amp; Hotels</t>
        </is>
      </c>
      <c r="D24" s="24" t="inlineStr">
        <is>
          <t>Mumbai</t>
        </is>
      </c>
      <c r="E24" s="26" t="n">
        <v>4.9</v>
      </c>
      <c r="F24" s="27" t="n">
        <v>18500</v>
      </c>
      <c r="G24" s="24" t="inlineStr">
        <is>
          <t>Yes</t>
        </is>
      </c>
      <c r="H24" s="24" t="inlineStr">
        <is>
          <t>Active</t>
        </is>
      </c>
      <c r="I24" s="25" t="inlineStr">
        <is>
          <t>https://tajhotels.com</t>
        </is>
      </c>
      <c r="J24" s="24" t="inlineStr">
        <is>
          <t>Yes</t>
        </is>
      </c>
      <c r="K24" s="24" t="inlineStr">
        <is>
          <t>Valid</t>
        </is>
      </c>
      <c r="L24" s="24" t="inlineStr">
        <is>
          <t>DigiCert</t>
        </is>
      </c>
      <c r="M24" s="24" t="inlineStr">
        <is>
          <t>No</t>
        </is>
      </c>
      <c r="N24" s="24" t="inlineStr">
        <is>
          <t>Protected</t>
        </is>
      </c>
      <c r="O24" s="24" t="inlineStr">
        <is>
          <t>No</t>
        </is>
      </c>
      <c r="P24" s="24" t="inlineStr">
        <is>
          <t>Clean</t>
        </is>
      </c>
      <c r="Q24" s="25" t="inlineStr">
        <is>
          <t>None</t>
        </is>
      </c>
      <c r="R24" s="28" t="n">
        <v>5</v>
      </c>
      <c r="S24" s="32" t="inlineStr">
        <is>
          <t>Very Secure</t>
        </is>
      </c>
      <c r="T24" s="32" t="inlineStr">
        <is>
          <t>LOW</t>
        </is>
      </c>
      <c r="U24" s="24" t="inlineStr">
        <is>
          <t>$250 (Routine Audit / Audit Retainer)</t>
        </is>
      </c>
      <c r="V24" s="29" t="inlineStr">
        <is>
          <t>LinkedIn Outreach to Owner / Operations Manager</t>
        </is>
      </c>
      <c r="W24" s="29" t="inlineStr">
        <is>
          <t>Digital Security Posture Review for Taj Mahal Palace Colaba</t>
        </is>
      </c>
      <c r="X24" s="29" t="inlineStr">
        <is>
          <t>We have run a digital presence scan on Taj Mahal Palace Colaba and verified that your primary protocols are secure. We offer routine scanning packages to maintain this posture.</t>
        </is>
      </c>
      <c r="Y24" s="29" t="inlineStr">
        <is>
          <t>General Maintenance &amp; Continuous Security Penetration Scanning</t>
        </is>
      </c>
      <c r="Z24" s="29" t="inlineStr">
        <is>
          <t>None (All Secure)</t>
        </is>
      </c>
      <c r="AA24" s="29" t="inlineStr">
        <is>
          <t>Maintain existing secure posture. Schedule routine security auditing and patch CMS regularly.</t>
        </is>
      </c>
    </row>
    <row r="25" ht="270" customHeight="1">
      <c r="A25" s="10" t="inlineStr">
        <is>
          <t>BIZ-05</t>
        </is>
      </c>
      <c r="B25" s="9" t="inlineStr">
        <is>
          <t>Mavalli Tiffin Room (MTR)</t>
        </is>
      </c>
      <c r="C25" s="9" t="inlineStr">
        <is>
          <t>Restaurants &amp; Cafes</t>
        </is>
      </c>
      <c r="D25" s="10" t="inlineStr">
        <is>
          <t>Bengaluru</t>
        </is>
      </c>
      <c r="E25" s="19" t="n">
        <v>4.5</v>
      </c>
      <c r="F25" s="20" t="n">
        <v>12000</v>
      </c>
      <c r="G25" s="10" t="inlineStr">
        <is>
          <t>Yes</t>
        </is>
      </c>
      <c r="H25" s="10" t="inlineStr">
        <is>
          <t>Active</t>
        </is>
      </c>
      <c r="I25" s="9" t="inlineStr">
        <is>
          <t>https://mtrrestaurants.com</t>
        </is>
      </c>
      <c r="J25" s="10" t="inlineStr">
        <is>
          <t>Yes</t>
        </is>
      </c>
      <c r="K25" s="10" t="inlineStr">
        <is>
          <t>Valid</t>
        </is>
      </c>
      <c r="L25" s="10" t="inlineStr">
        <is>
          <t>DigiCert</t>
        </is>
      </c>
      <c r="M25" s="10" t="inlineStr">
        <is>
          <t>No</t>
        </is>
      </c>
      <c r="N25" s="10" t="inlineStr">
        <is>
          <t>Protected</t>
        </is>
      </c>
      <c r="O25" s="10" t="inlineStr">
        <is>
          <t>No</t>
        </is>
      </c>
      <c r="P25" s="10" t="inlineStr">
        <is>
          <t>Clean</t>
        </is>
      </c>
      <c r="Q25" s="9" t="inlineStr">
        <is>
          <t>None</t>
        </is>
      </c>
      <c r="R25" s="21" t="n">
        <v>5</v>
      </c>
      <c r="S25" s="32" t="inlineStr">
        <is>
          <t>Very Secure</t>
        </is>
      </c>
      <c r="T25" s="32" t="inlineStr">
        <is>
          <t>LOW</t>
        </is>
      </c>
      <c r="U25" s="10" t="inlineStr">
        <is>
          <t>$250 (Routine Audit / Audit Retainer)</t>
        </is>
      </c>
      <c r="V25" s="23" t="inlineStr">
        <is>
          <t>LinkedIn Outreach to Owner / Operations Manager</t>
        </is>
      </c>
      <c r="W25" s="23" t="inlineStr">
        <is>
          <t>Digital Security Posture Review for Mavalli Tiffin Room (MTR)</t>
        </is>
      </c>
      <c r="X25" s="23" t="inlineStr">
        <is>
          <t>We have run a digital presence scan on Mavalli Tiffin Room (MTR) and verified that your primary protocols are secure. We offer routine scanning packages to maintain this posture.</t>
        </is>
      </c>
      <c r="Y25" s="23" t="inlineStr">
        <is>
          <t>General Maintenance &amp; Continuous Security Penetration Scanning</t>
        </is>
      </c>
      <c r="Z25" s="23" t="inlineStr">
        <is>
          <t>None (All Secure)</t>
        </is>
      </c>
      <c r="AA25" s="23" t="inlineStr">
        <is>
          <t>Maintain existing secure posture. Schedule routine security auditing and patch CMS regularly.</t>
        </is>
      </c>
    </row>
    <row r="26" ht="270" customHeight="1">
      <c r="A26" s="24" t="inlineStr">
        <is>
          <t>BIZ-44</t>
        </is>
      </c>
      <c r="B26" s="25" t="inlineStr">
        <is>
          <t>ITC Grand Chola Guindy</t>
        </is>
      </c>
      <c r="C26" s="25" t="inlineStr">
        <is>
          <t>Hospitality &amp; Hotels</t>
        </is>
      </c>
      <c r="D26" s="24" t="inlineStr">
        <is>
          <t>Chennai</t>
        </is>
      </c>
      <c r="E26" s="26" t="n">
        <v>4.8</v>
      </c>
      <c r="F26" s="27" t="n">
        <v>9500</v>
      </c>
      <c r="G26" s="24" t="inlineStr">
        <is>
          <t>Yes</t>
        </is>
      </c>
      <c r="H26" s="24" t="inlineStr">
        <is>
          <t>Active</t>
        </is>
      </c>
      <c r="I26" s="25" t="inlineStr">
        <is>
          <t>https://itchotels.com</t>
        </is>
      </c>
      <c r="J26" s="24" t="inlineStr">
        <is>
          <t>Yes</t>
        </is>
      </c>
      <c r="K26" s="24" t="inlineStr">
        <is>
          <t>Valid</t>
        </is>
      </c>
      <c r="L26" s="24" t="inlineStr">
        <is>
          <t>Sectigo</t>
        </is>
      </c>
      <c r="M26" s="24" t="inlineStr">
        <is>
          <t>No</t>
        </is>
      </c>
      <c r="N26" s="24" t="inlineStr">
        <is>
          <t>Protected</t>
        </is>
      </c>
      <c r="O26" s="24" t="inlineStr">
        <is>
          <t>No</t>
        </is>
      </c>
      <c r="P26" s="24" t="inlineStr">
        <is>
          <t>Clean</t>
        </is>
      </c>
      <c r="Q26" s="25" t="inlineStr">
        <is>
          <t>None</t>
        </is>
      </c>
      <c r="R26" s="28" t="n">
        <v>5</v>
      </c>
      <c r="S26" s="32" t="inlineStr">
        <is>
          <t>Very Secure</t>
        </is>
      </c>
      <c r="T26" s="32" t="inlineStr">
        <is>
          <t>LOW</t>
        </is>
      </c>
      <c r="U26" s="24" t="inlineStr">
        <is>
          <t>$250 (Routine Audit / Audit Retainer)</t>
        </is>
      </c>
      <c r="V26" s="29" t="inlineStr">
        <is>
          <t>LinkedIn Outreach to Owner / Operations Manager</t>
        </is>
      </c>
      <c r="W26" s="29" t="inlineStr">
        <is>
          <t>Digital Security Posture Review for ITC Grand Chola Guindy</t>
        </is>
      </c>
      <c r="X26" s="29" t="inlineStr">
        <is>
          <t>We have run a digital presence scan on ITC Grand Chola Guindy and verified that your primary protocols are secure. We offer routine scanning packages to maintain this posture.</t>
        </is>
      </c>
      <c r="Y26" s="29" t="inlineStr">
        <is>
          <t>General Maintenance &amp; Continuous Security Penetration Scanning</t>
        </is>
      </c>
      <c r="Z26" s="29" t="inlineStr">
        <is>
          <t>None (All Secure)</t>
        </is>
      </c>
      <c r="AA26" s="29" t="inlineStr">
        <is>
          <t>Maintain existing secure posture. Schedule routine security auditing and patch CMS regularly.</t>
        </is>
      </c>
    </row>
    <row r="27" ht="270" customHeight="1">
      <c r="A27" s="10" t="inlineStr">
        <is>
          <t>BIZ-17</t>
        </is>
      </c>
      <c r="B27" s="9" t="inlineStr">
        <is>
          <t>Medanta The Medicity</t>
        </is>
      </c>
      <c r="C27" s="9" t="inlineStr">
        <is>
          <t>Healthcare &amp; Clinics</t>
        </is>
      </c>
      <c r="D27" s="10" t="inlineStr">
        <is>
          <t>Delhi</t>
        </is>
      </c>
      <c r="E27" s="19" t="n">
        <v>4.3</v>
      </c>
      <c r="F27" s="20" t="n">
        <v>8900</v>
      </c>
      <c r="G27" s="10" t="inlineStr">
        <is>
          <t>Yes</t>
        </is>
      </c>
      <c r="H27" s="10" t="inlineStr">
        <is>
          <t>Active</t>
        </is>
      </c>
      <c r="I27" s="9" t="inlineStr">
        <is>
          <t>https://medanta.org</t>
        </is>
      </c>
      <c r="J27" s="10" t="inlineStr">
        <is>
          <t>Yes</t>
        </is>
      </c>
      <c r="K27" s="10" t="inlineStr">
        <is>
          <t>Valid</t>
        </is>
      </c>
      <c r="L27" s="10" t="inlineStr">
        <is>
          <t>DigiCert</t>
        </is>
      </c>
      <c r="M27" s="10" t="inlineStr">
        <is>
          <t>No</t>
        </is>
      </c>
      <c r="N27" s="10" t="inlineStr">
        <is>
          <t>Protected</t>
        </is>
      </c>
      <c r="O27" s="10" t="inlineStr">
        <is>
          <t>No</t>
        </is>
      </c>
      <c r="P27" s="10" t="inlineStr">
        <is>
          <t>Clean</t>
        </is>
      </c>
      <c r="Q27" s="9" t="inlineStr">
        <is>
          <t>None</t>
        </is>
      </c>
      <c r="R27" s="21" t="n">
        <v>5</v>
      </c>
      <c r="S27" s="32" t="inlineStr">
        <is>
          <t>Very Secure</t>
        </is>
      </c>
      <c r="T27" s="32" t="inlineStr">
        <is>
          <t>LOW</t>
        </is>
      </c>
      <c r="U27" s="10" t="inlineStr">
        <is>
          <t>$250 (Routine Audit / Audit Retainer)</t>
        </is>
      </c>
      <c r="V27" s="23" t="inlineStr">
        <is>
          <t>LinkedIn Outreach to Owner / Operations Manager</t>
        </is>
      </c>
      <c r="W27" s="23" t="inlineStr">
        <is>
          <t>Digital Security Posture Review for Medanta The Medicity</t>
        </is>
      </c>
      <c r="X27" s="23" t="inlineStr">
        <is>
          <t>We have run a digital presence scan on Medanta The Medicity and verified that your primary protocols are secure. We offer routine scanning packages to maintain this posture.</t>
        </is>
      </c>
      <c r="Y27" s="23" t="inlineStr">
        <is>
          <t>General Maintenance &amp; Continuous Security Penetration Scanning</t>
        </is>
      </c>
      <c r="Z27" s="23" t="inlineStr">
        <is>
          <t>None (All Secure)</t>
        </is>
      </c>
      <c r="AA27" s="23" t="inlineStr">
        <is>
          <t>Maintain existing secure posture. Schedule routine security auditing and patch CMS regularly.</t>
        </is>
      </c>
    </row>
    <row r="28" ht="288" customHeight="1">
      <c r="A28" s="24" t="inlineStr">
        <is>
          <t>BIZ-42</t>
        </is>
      </c>
      <c r="B28" s="25" t="inlineStr">
        <is>
          <t>The Oberoi Mahatma Gandhi Rd</t>
        </is>
      </c>
      <c r="C28" s="25" t="inlineStr">
        <is>
          <t>Hospitality &amp; Hotels</t>
        </is>
      </c>
      <c r="D28" s="24" t="inlineStr">
        <is>
          <t>Bengaluru</t>
        </is>
      </c>
      <c r="E28" s="26" t="n">
        <v>4.8</v>
      </c>
      <c r="F28" s="27" t="n">
        <v>6200</v>
      </c>
      <c r="G28" s="24" t="inlineStr">
        <is>
          <t>Yes</t>
        </is>
      </c>
      <c r="H28" s="24" t="inlineStr">
        <is>
          <t>Active</t>
        </is>
      </c>
      <c r="I28" s="25" t="inlineStr">
        <is>
          <t>https://oberoihotels.com</t>
        </is>
      </c>
      <c r="J28" s="24" t="inlineStr">
        <is>
          <t>Yes</t>
        </is>
      </c>
      <c r="K28" s="24" t="inlineStr">
        <is>
          <t>Valid</t>
        </is>
      </c>
      <c r="L28" s="24" t="inlineStr">
        <is>
          <t>DigiCert</t>
        </is>
      </c>
      <c r="M28" s="24" t="inlineStr">
        <is>
          <t>No</t>
        </is>
      </c>
      <c r="N28" s="24" t="inlineStr">
        <is>
          <t>Protected</t>
        </is>
      </c>
      <c r="O28" s="24" t="inlineStr">
        <is>
          <t>No</t>
        </is>
      </c>
      <c r="P28" s="24" t="inlineStr">
        <is>
          <t>Clean</t>
        </is>
      </c>
      <c r="Q28" s="25" t="inlineStr">
        <is>
          <t>None</t>
        </is>
      </c>
      <c r="R28" s="28" t="n">
        <v>5</v>
      </c>
      <c r="S28" s="32" t="inlineStr">
        <is>
          <t>Very Secure</t>
        </is>
      </c>
      <c r="T28" s="32" t="inlineStr">
        <is>
          <t>LOW</t>
        </is>
      </c>
      <c r="U28" s="24" t="inlineStr">
        <is>
          <t>$250 (Routine Audit / Audit Retainer)</t>
        </is>
      </c>
      <c r="V28" s="29" t="inlineStr">
        <is>
          <t>LinkedIn Outreach to Owner / Operations Manager</t>
        </is>
      </c>
      <c r="W28" s="29" t="inlineStr">
        <is>
          <t>Digital Security Posture Review for The Oberoi Mahatma Gandhi Rd</t>
        </is>
      </c>
      <c r="X28" s="29" t="inlineStr">
        <is>
          <t>We have run a digital presence scan on The Oberoi Mahatma Gandhi Rd and verified that your primary protocols are secure. We offer routine scanning packages to maintain this posture.</t>
        </is>
      </c>
      <c r="Y28" s="29" t="inlineStr">
        <is>
          <t>General Maintenance &amp; Continuous Security Penetration Scanning</t>
        </is>
      </c>
      <c r="Z28" s="29" t="inlineStr">
        <is>
          <t>None (All Secure)</t>
        </is>
      </c>
      <c r="AA28" s="29" t="inlineStr">
        <is>
          <t>Maintain existing secure posture. Schedule routine security auditing and patch CMS regularly.</t>
        </is>
      </c>
    </row>
    <row r="29" ht="288" customHeight="1">
      <c r="A29" s="10" t="inlineStr">
        <is>
          <t>BIZ-45</t>
        </is>
      </c>
      <c r="B29" s="9" t="inlineStr">
        <is>
          <t>JW Marriott Senapati Bapat Rd</t>
        </is>
      </c>
      <c r="C29" s="9" t="inlineStr">
        <is>
          <t>Hospitality &amp; Hotels</t>
        </is>
      </c>
      <c r="D29" s="10" t="inlineStr">
        <is>
          <t>Pune</t>
        </is>
      </c>
      <c r="E29" s="19" t="n">
        <v>4.7</v>
      </c>
      <c r="F29" s="20" t="n">
        <v>5400</v>
      </c>
      <c r="G29" s="10" t="inlineStr">
        <is>
          <t>Yes</t>
        </is>
      </c>
      <c r="H29" s="10" t="inlineStr">
        <is>
          <t>Active</t>
        </is>
      </c>
      <c r="I29" s="9" t="inlineStr">
        <is>
          <t>https://marriott.com</t>
        </is>
      </c>
      <c r="J29" s="10" t="inlineStr">
        <is>
          <t>Yes</t>
        </is>
      </c>
      <c r="K29" s="10" t="inlineStr">
        <is>
          <t>Valid</t>
        </is>
      </c>
      <c r="L29" s="10" t="inlineStr">
        <is>
          <t>DigiCert</t>
        </is>
      </c>
      <c r="M29" s="10" t="inlineStr">
        <is>
          <t>No</t>
        </is>
      </c>
      <c r="N29" s="10" t="inlineStr">
        <is>
          <t>Protected</t>
        </is>
      </c>
      <c r="O29" s="10" t="inlineStr">
        <is>
          <t>No</t>
        </is>
      </c>
      <c r="P29" s="10" t="inlineStr">
        <is>
          <t>Clean</t>
        </is>
      </c>
      <c r="Q29" s="9" t="inlineStr">
        <is>
          <t>None</t>
        </is>
      </c>
      <c r="R29" s="21" t="n">
        <v>5</v>
      </c>
      <c r="S29" s="32" t="inlineStr">
        <is>
          <t>Very Secure</t>
        </is>
      </c>
      <c r="T29" s="32" t="inlineStr">
        <is>
          <t>LOW</t>
        </is>
      </c>
      <c r="U29" s="10" t="inlineStr">
        <is>
          <t>$250 (Routine Audit / Audit Retainer)</t>
        </is>
      </c>
      <c r="V29" s="23" t="inlineStr">
        <is>
          <t>LinkedIn Outreach to Owner / Operations Manager</t>
        </is>
      </c>
      <c r="W29" s="23" t="inlineStr">
        <is>
          <t>Digital Security Posture Review for JW Marriott Senapati Bapat Rd</t>
        </is>
      </c>
      <c r="X29" s="23" t="inlineStr">
        <is>
          <t>We have run a digital presence scan on JW Marriott Senapati Bapat Rd and verified that your primary protocols are secure. We offer routine scanning packages to maintain this posture.</t>
        </is>
      </c>
      <c r="Y29" s="23" t="inlineStr">
        <is>
          <t>General Maintenance &amp; Continuous Security Penetration Scanning</t>
        </is>
      </c>
      <c r="Z29" s="23" t="inlineStr">
        <is>
          <t>None (All Secure)</t>
        </is>
      </c>
      <c r="AA29" s="23" t="inlineStr">
        <is>
          <t>Maintain existing secure posture. Schedule routine security auditing and patch CMS regularly.</t>
        </is>
      </c>
    </row>
    <row r="30" ht="270" customHeight="1">
      <c r="A30" s="24" t="inlineStr">
        <is>
          <t>BIZ-43</t>
        </is>
      </c>
      <c r="B30" s="25" t="inlineStr">
        <is>
          <t>The Leela Palace MRC Nagar</t>
        </is>
      </c>
      <c r="C30" s="25" t="inlineStr">
        <is>
          <t>Hospitality &amp; Hotels</t>
        </is>
      </c>
      <c r="D30" s="24" t="inlineStr">
        <is>
          <t>Chennai</t>
        </is>
      </c>
      <c r="E30" s="26" t="n">
        <v>4.7</v>
      </c>
      <c r="F30" s="27" t="n">
        <v>4800</v>
      </c>
      <c r="G30" s="24" t="inlineStr">
        <is>
          <t>Yes</t>
        </is>
      </c>
      <c r="H30" s="24" t="inlineStr">
        <is>
          <t>Active</t>
        </is>
      </c>
      <c r="I30" s="25" t="inlineStr">
        <is>
          <t>https://theleela.com</t>
        </is>
      </c>
      <c r="J30" s="24" t="inlineStr">
        <is>
          <t>Yes</t>
        </is>
      </c>
      <c r="K30" s="24" t="inlineStr">
        <is>
          <t>Valid</t>
        </is>
      </c>
      <c r="L30" s="24" t="inlineStr">
        <is>
          <t>DigiCert</t>
        </is>
      </c>
      <c r="M30" s="24" t="inlineStr">
        <is>
          <t>No</t>
        </is>
      </c>
      <c r="N30" s="24" t="inlineStr">
        <is>
          <t>Protected</t>
        </is>
      </c>
      <c r="O30" s="24" t="inlineStr">
        <is>
          <t>No</t>
        </is>
      </c>
      <c r="P30" s="24" t="inlineStr">
        <is>
          <t>Clean</t>
        </is>
      </c>
      <c r="Q30" s="25" t="inlineStr">
        <is>
          <t>None</t>
        </is>
      </c>
      <c r="R30" s="28" t="n">
        <v>5</v>
      </c>
      <c r="S30" s="32" t="inlineStr">
        <is>
          <t>Very Secure</t>
        </is>
      </c>
      <c r="T30" s="32" t="inlineStr">
        <is>
          <t>LOW</t>
        </is>
      </c>
      <c r="U30" s="24" t="inlineStr">
        <is>
          <t>$250 (Routine Audit / Audit Retainer)</t>
        </is>
      </c>
      <c r="V30" s="29" t="inlineStr">
        <is>
          <t>LinkedIn Outreach to Owner / Operations Manager</t>
        </is>
      </c>
      <c r="W30" s="29" t="inlineStr">
        <is>
          <t>Digital Security Posture Review for The Leela Palace MRC Nagar</t>
        </is>
      </c>
      <c r="X30" s="29" t="inlineStr">
        <is>
          <t>We have run a digital presence scan on The Leela Palace MRC Nagar and verified that your primary protocols are secure. We offer routine scanning packages to maintain this posture.</t>
        </is>
      </c>
      <c r="Y30" s="29" t="inlineStr">
        <is>
          <t>General Maintenance &amp; Continuous Security Penetration Scanning</t>
        </is>
      </c>
      <c r="Z30" s="29" t="inlineStr">
        <is>
          <t>None (All Secure)</t>
        </is>
      </c>
      <c r="AA30" s="29" t="inlineStr">
        <is>
          <t>Maintain existing secure posture. Schedule routine security auditing and patch CMS regularly.</t>
        </is>
      </c>
    </row>
    <row r="31" ht="288" customHeight="1">
      <c r="A31" s="10" t="inlineStr">
        <is>
          <t>BIZ-11</t>
        </is>
      </c>
      <c r="B31" s="9" t="inlineStr">
        <is>
          <t>Apollo Hospitals Greams Road</t>
        </is>
      </c>
      <c r="C31" s="9" t="inlineStr">
        <is>
          <t>Healthcare &amp; Clinics</t>
        </is>
      </c>
      <c r="D31" s="10" t="inlineStr">
        <is>
          <t>Chennai</t>
        </is>
      </c>
      <c r="E31" s="19" t="n">
        <v>4.2</v>
      </c>
      <c r="F31" s="20" t="n">
        <v>4200</v>
      </c>
      <c r="G31" s="10" t="inlineStr">
        <is>
          <t>Yes</t>
        </is>
      </c>
      <c r="H31" s="10" t="inlineStr">
        <is>
          <t>Active</t>
        </is>
      </c>
      <c r="I31" s="9" t="inlineStr">
        <is>
          <t>https://apollohospitals.com</t>
        </is>
      </c>
      <c r="J31" s="10" t="inlineStr">
        <is>
          <t>Yes</t>
        </is>
      </c>
      <c r="K31" s="10" t="inlineStr">
        <is>
          <t>Valid</t>
        </is>
      </c>
      <c r="L31" s="10" t="inlineStr">
        <is>
          <t>DigiCert</t>
        </is>
      </c>
      <c r="M31" s="10" t="inlineStr">
        <is>
          <t>No</t>
        </is>
      </c>
      <c r="N31" s="10" t="inlineStr">
        <is>
          <t>Protected</t>
        </is>
      </c>
      <c r="O31" s="10" t="inlineStr">
        <is>
          <t>No</t>
        </is>
      </c>
      <c r="P31" s="10" t="inlineStr">
        <is>
          <t>Clean</t>
        </is>
      </c>
      <c r="Q31" s="9" t="inlineStr">
        <is>
          <t>None</t>
        </is>
      </c>
      <c r="R31" s="21" t="n">
        <v>5</v>
      </c>
      <c r="S31" s="32" t="inlineStr">
        <is>
          <t>Very Secure</t>
        </is>
      </c>
      <c r="T31" s="32" t="inlineStr">
        <is>
          <t>LOW</t>
        </is>
      </c>
      <c r="U31" s="10" t="inlineStr">
        <is>
          <t>$250 (Routine Audit / Audit Retainer)</t>
        </is>
      </c>
      <c r="V31" s="23" t="inlineStr">
        <is>
          <t>LinkedIn Outreach to Owner / Operations Manager</t>
        </is>
      </c>
      <c r="W31" s="23" t="inlineStr">
        <is>
          <t>Digital Security Posture Review for Apollo Hospitals Greams Road</t>
        </is>
      </c>
      <c r="X31" s="23" t="inlineStr">
        <is>
          <t>We have run a digital presence scan on Apollo Hospitals Greams Road and verified that your primary protocols are secure. We offer routine scanning packages to maintain this posture.</t>
        </is>
      </c>
      <c r="Y31" s="23" t="inlineStr">
        <is>
          <t>General Maintenance &amp; Continuous Security Penetration Scanning</t>
        </is>
      </c>
      <c r="Z31" s="23" t="inlineStr">
        <is>
          <t>None (All Secure)</t>
        </is>
      </c>
      <c r="AA31" s="23" t="inlineStr">
        <is>
          <t>Maintain existing secure posture. Schedule routine security auditing and patch CMS regularly.</t>
        </is>
      </c>
    </row>
    <row r="32" ht="288" customHeight="1">
      <c r="A32" s="24" t="inlineStr">
        <is>
          <t>BIZ-13</t>
        </is>
      </c>
      <c r="B32" s="25" t="inlineStr">
        <is>
          <t>Manipal Hospital Old Airport Rd</t>
        </is>
      </c>
      <c r="C32" s="25" t="inlineStr">
        <is>
          <t>Healthcare &amp; Clinics</t>
        </is>
      </c>
      <c r="D32" s="24" t="inlineStr">
        <is>
          <t>Bengaluru</t>
        </is>
      </c>
      <c r="E32" s="26" t="n">
        <v>4.3</v>
      </c>
      <c r="F32" s="27" t="n">
        <v>3500</v>
      </c>
      <c r="G32" s="24" t="inlineStr">
        <is>
          <t>Yes</t>
        </is>
      </c>
      <c r="H32" s="24" t="inlineStr">
        <is>
          <t>Active</t>
        </is>
      </c>
      <c r="I32" s="25" t="inlineStr">
        <is>
          <t>https://manipalhospitals.com</t>
        </is>
      </c>
      <c r="J32" s="24" t="inlineStr">
        <is>
          <t>Yes</t>
        </is>
      </c>
      <c r="K32" s="24" t="inlineStr">
        <is>
          <t>Valid</t>
        </is>
      </c>
      <c r="L32" s="24" t="inlineStr">
        <is>
          <t>Sectigo</t>
        </is>
      </c>
      <c r="M32" s="24" t="inlineStr">
        <is>
          <t>No</t>
        </is>
      </c>
      <c r="N32" s="24" t="inlineStr">
        <is>
          <t>Protected</t>
        </is>
      </c>
      <c r="O32" s="24" t="inlineStr">
        <is>
          <t>No</t>
        </is>
      </c>
      <c r="P32" s="24" t="inlineStr">
        <is>
          <t>Clean</t>
        </is>
      </c>
      <c r="Q32" s="25" t="inlineStr">
        <is>
          <t>None</t>
        </is>
      </c>
      <c r="R32" s="28" t="n">
        <v>5</v>
      </c>
      <c r="S32" s="32" t="inlineStr">
        <is>
          <t>Very Secure</t>
        </is>
      </c>
      <c r="T32" s="32" t="inlineStr">
        <is>
          <t>LOW</t>
        </is>
      </c>
      <c r="U32" s="24" t="inlineStr">
        <is>
          <t>$250 (Routine Audit / Audit Retainer)</t>
        </is>
      </c>
      <c r="V32" s="29" t="inlineStr">
        <is>
          <t>LinkedIn Outreach to Owner / Operations Manager</t>
        </is>
      </c>
      <c r="W32" s="29" t="inlineStr">
        <is>
          <t>Digital Security Posture Review for Manipal Hospital Old Airport Rd</t>
        </is>
      </c>
      <c r="X32" s="29" t="inlineStr">
        <is>
          <t>We have run a digital presence scan on Manipal Hospital Old Airport Rd and verified that your primary protocols are secure. We offer routine scanning packages to maintain this posture.</t>
        </is>
      </c>
      <c r="Y32" s="29" t="inlineStr">
        <is>
          <t>General Maintenance &amp; Continuous Security Penetration Scanning</t>
        </is>
      </c>
      <c r="Z32" s="29" t="inlineStr">
        <is>
          <t>None (All Secure)</t>
        </is>
      </c>
      <c r="AA32" s="29" t="inlineStr">
        <is>
          <t>Maintain existing secure posture. Schedule routine security auditing and patch CMS regularly.</t>
        </is>
      </c>
    </row>
    <row r="33" ht="270" customHeight="1">
      <c r="A33" s="10" t="inlineStr">
        <is>
          <t>BIZ-21</t>
        </is>
      </c>
      <c r="B33" s="9" t="inlineStr">
        <is>
          <t>Nalli Silks T-Nagar</t>
        </is>
      </c>
      <c r="C33" s="9" t="inlineStr">
        <is>
          <t>Retail &amp; Shops</t>
        </is>
      </c>
      <c r="D33" s="10" t="inlineStr">
        <is>
          <t>Chennai</t>
        </is>
      </c>
      <c r="E33" s="19" t="n">
        <v>4.5</v>
      </c>
      <c r="F33" s="20" t="n">
        <v>3200</v>
      </c>
      <c r="G33" s="10" t="inlineStr">
        <is>
          <t>Yes</t>
        </is>
      </c>
      <c r="H33" s="10" t="inlineStr">
        <is>
          <t>Active</t>
        </is>
      </c>
      <c r="I33" s="9" t="inlineStr">
        <is>
          <t>https://nalli.com</t>
        </is>
      </c>
      <c r="J33" s="10" t="inlineStr">
        <is>
          <t>Yes</t>
        </is>
      </c>
      <c r="K33" s="10" t="inlineStr">
        <is>
          <t>Valid</t>
        </is>
      </c>
      <c r="L33" s="10" t="inlineStr">
        <is>
          <t>GeoTrust</t>
        </is>
      </c>
      <c r="M33" s="10" t="inlineStr">
        <is>
          <t>No</t>
        </is>
      </c>
      <c r="N33" s="10" t="inlineStr">
        <is>
          <t>Protected</t>
        </is>
      </c>
      <c r="O33" s="10" t="inlineStr">
        <is>
          <t>No</t>
        </is>
      </c>
      <c r="P33" s="10" t="inlineStr">
        <is>
          <t>Clean</t>
        </is>
      </c>
      <c r="Q33" s="9" t="inlineStr">
        <is>
          <t>CSP</t>
        </is>
      </c>
      <c r="R33" s="21" t="n">
        <v>5</v>
      </c>
      <c r="S33" s="32" t="inlineStr">
        <is>
          <t>Very Secure</t>
        </is>
      </c>
      <c r="T33" s="32" t="inlineStr">
        <is>
          <t>LOW</t>
        </is>
      </c>
      <c r="U33" s="10" t="inlineStr">
        <is>
          <t>$250 (Routine Audit / Audit Retainer)</t>
        </is>
      </c>
      <c r="V33" s="23" t="inlineStr">
        <is>
          <t>LinkedIn Outreach to Owner / Operations Manager</t>
        </is>
      </c>
      <c r="W33" s="23" t="inlineStr">
        <is>
          <t>Digital Security Posture Review for Nalli Silks T-Nagar</t>
        </is>
      </c>
      <c r="X33" s="23" t="inlineStr">
        <is>
          <t>We have run a digital presence scan on Nalli Silks T-Nagar and verified that your primary protocols are secure. We offer routine scanning packages to maintain this posture.</t>
        </is>
      </c>
      <c r="Y33" s="23" t="inlineStr">
        <is>
          <t>General Maintenance &amp; Continuous Security Penetration Scanning</t>
        </is>
      </c>
      <c r="Z33" s="23" t="inlineStr">
        <is>
          <t>None (All Secure)</t>
        </is>
      </c>
      <c r="AA33" s="23" t="inlineStr">
        <is>
          <t>Maintain existing secure posture. Schedule routine security auditing and patch CMS regularly.</t>
        </is>
      </c>
    </row>
    <row r="34" ht="252" customHeight="1">
      <c r="A34" s="24" t="inlineStr">
        <is>
          <t>BIZ-46</t>
        </is>
      </c>
      <c r="B34" s="25" t="inlineStr">
        <is>
          <t>Rambagh Palace</t>
        </is>
      </c>
      <c r="C34" s="25" t="inlineStr">
        <is>
          <t>Hospitality &amp; Hotels</t>
        </is>
      </c>
      <c r="D34" s="24" t="inlineStr">
        <is>
          <t>Jaipur</t>
        </is>
      </c>
      <c r="E34" s="26" t="n">
        <v>4.9</v>
      </c>
      <c r="F34" s="27" t="n">
        <v>3200</v>
      </c>
      <c r="G34" s="24" t="inlineStr">
        <is>
          <t>Yes</t>
        </is>
      </c>
      <c r="H34" s="24" t="inlineStr">
        <is>
          <t>Active</t>
        </is>
      </c>
      <c r="I34" s="25" t="inlineStr">
        <is>
          <t>https://tajhotels.com</t>
        </is>
      </c>
      <c r="J34" s="24" t="inlineStr">
        <is>
          <t>Yes</t>
        </is>
      </c>
      <c r="K34" s="24" t="inlineStr">
        <is>
          <t>Valid</t>
        </is>
      </c>
      <c r="L34" s="24" t="inlineStr">
        <is>
          <t>DigiCert</t>
        </is>
      </c>
      <c r="M34" s="24" t="inlineStr">
        <is>
          <t>No</t>
        </is>
      </c>
      <c r="N34" s="24" t="inlineStr">
        <is>
          <t>Protected</t>
        </is>
      </c>
      <c r="O34" s="24" t="inlineStr">
        <is>
          <t>No</t>
        </is>
      </c>
      <c r="P34" s="24" t="inlineStr">
        <is>
          <t>Clean</t>
        </is>
      </c>
      <c r="Q34" s="25" t="inlineStr">
        <is>
          <t>None</t>
        </is>
      </c>
      <c r="R34" s="28" t="n">
        <v>5</v>
      </c>
      <c r="S34" s="32" t="inlineStr">
        <is>
          <t>Very Secure</t>
        </is>
      </c>
      <c r="T34" s="32" t="inlineStr">
        <is>
          <t>LOW</t>
        </is>
      </c>
      <c r="U34" s="24" t="inlineStr">
        <is>
          <t>$250 (Routine Audit / Audit Retainer)</t>
        </is>
      </c>
      <c r="V34" s="29" t="inlineStr">
        <is>
          <t>LinkedIn Outreach to Owner / Operations Manager</t>
        </is>
      </c>
      <c r="W34" s="29" t="inlineStr">
        <is>
          <t>Digital Security Posture Review for Rambagh Palace</t>
        </is>
      </c>
      <c r="X34" s="29" t="inlineStr">
        <is>
          <t>We have run a digital presence scan on Rambagh Palace and verified that your primary protocols are secure. We offer routine scanning packages to maintain this posture.</t>
        </is>
      </c>
      <c r="Y34" s="29" t="inlineStr">
        <is>
          <t>General Maintenance &amp; Continuous Security Penetration Scanning</t>
        </is>
      </c>
      <c r="Z34" s="29" t="inlineStr">
        <is>
          <t>None (All Secure)</t>
        </is>
      </c>
      <c r="AA34" s="29" t="inlineStr">
        <is>
          <t>Maintain existing secure posture. Schedule routine security auditing and patch CMS regularly.</t>
        </is>
      </c>
    </row>
    <row r="35" ht="270" customHeight="1">
      <c r="A35" s="10" t="inlineStr">
        <is>
          <t>BIZ-15</t>
        </is>
      </c>
      <c r="B35" s="9" t="inlineStr">
        <is>
          <t>Narayana Health City</t>
        </is>
      </c>
      <c r="C35" s="9" t="inlineStr">
        <is>
          <t>Healthcare &amp; Clinics</t>
        </is>
      </c>
      <c r="D35" s="10" t="inlineStr">
        <is>
          <t>Bengaluru</t>
        </is>
      </c>
      <c r="E35" s="19" t="n">
        <v>4.4</v>
      </c>
      <c r="F35" s="20" t="n">
        <v>3100</v>
      </c>
      <c r="G35" s="10" t="inlineStr">
        <is>
          <t>Yes</t>
        </is>
      </c>
      <c r="H35" s="10" t="inlineStr">
        <is>
          <t>Active</t>
        </is>
      </c>
      <c r="I35" s="9" t="inlineStr">
        <is>
          <t>https://narayanahealth.org</t>
        </is>
      </c>
      <c r="J35" s="10" t="inlineStr">
        <is>
          <t>Yes</t>
        </is>
      </c>
      <c r="K35" s="10" t="inlineStr">
        <is>
          <t>Valid</t>
        </is>
      </c>
      <c r="L35" s="10" t="inlineStr">
        <is>
          <t>DigiCert</t>
        </is>
      </c>
      <c r="M35" s="10" t="inlineStr">
        <is>
          <t>No</t>
        </is>
      </c>
      <c r="N35" s="10" t="inlineStr">
        <is>
          <t>Protected</t>
        </is>
      </c>
      <c r="O35" s="10" t="inlineStr">
        <is>
          <t>No</t>
        </is>
      </c>
      <c r="P35" s="10" t="inlineStr">
        <is>
          <t>Clean</t>
        </is>
      </c>
      <c r="Q35" s="9" t="inlineStr">
        <is>
          <t>None</t>
        </is>
      </c>
      <c r="R35" s="21" t="n">
        <v>5</v>
      </c>
      <c r="S35" s="32" t="inlineStr">
        <is>
          <t>Very Secure</t>
        </is>
      </c>
      <c r="T35" s="32" t="inlineStr">
        <is>
          <t>LOW</t>
        </is>
      </c>
      <c r="U35" s="10" t="inlineStr">
        <is>
          <t>$250 (Routine Audit / Audit Retainer)</t>
        </is>
      </c>
      <c r="V35" s="23" t="inlineStr">
        <is>
          <t>LinkedIn Outreach to Owner / Operations Manager</t>
        </is>
      </c>
      <c r="W35" s="23" t="inlineStr">
        <is>
          <t>Digital Security Posture Review for Narayana Health City</t>
        </is>
      </c>
      <c r="X35" s="23" t="inlineStr">
        <is>
          <t>We have run a digital presence scan on Narayana Health City and verified that your primary protocols are secure. We offer routine scanning packages to maintain this posture.</t>
        </is>
      </c>
      <c r="Y35" s="23" t="inlineStr">
        <is>
          <t>General Maintenance &amp; Continuous Security Penetration Scanning</t>
        </is>
      </c>
      <c r="Z35" s="23" t="inlineStr">
        <is>
          <t>None (All Secure)</t>
        </is>
      </c>
      <c r="AA35" s="23" t="inlineStr">
        <is>
          <t>Maintain existing secure posture. Schedule routine security auditing and patch CMS regularly.</t>
        </is>
      </c>
    </row>
    <row r="36" ht="270" customHeight="1">
      <c r="A36" s="24" t="inlineStr">
        <is>
          <t>BIZ-12</t>
        </is>
      </c>
      <c r="B36" s="25" t="inlineStr">
        <is>
          <t>Fortis Hospital Mulund</t>
        </is>
      </c>
      <c r="C36" s="25" t="inlineStr">
        <is>
          <t>Healthcare &amp; Clinics</t>
        </is>
      </c>
      <c r="D36" s="24" t="inlineStr">
        <is>
          <t>Mumbai</t>
        </is>
      </c>
      <c r="E36" s="26" t="n">
        <v>4.1</v>
      </c>
      <c r="F36" s="27" t="n">
        <v>2800</v>
      </c>
      <c r="G36" s="24" t="inlineStr">
        <is>
          <t>Yes</t>
        </is>
      </c>
      <c r="H36" s="24" t="inlineStr">
        <is>
          <t>Active</t>
        </is>
      </c>
      <c r="I36" s="25" t="inlineStr">
        <is>
          <t>https://fortishealthcare.com</t>
        </is>
      </c>
      <c r="J36" s="24" t="inlineStr">
        <is>
          <t>Yes</t>
        </is>
      </c>
      <c r="K36" s="24" t="inlineStr">
        <is>
          <t>Valid</t>
        </is>
      </c>
      <c r="L36" s="24" t="inlineStr">
        <is>
          <t>Entrust</t>
        </is>
      </c>
      <c r="M36" s="24" t="inlineStr">
        <is>
          <t>No</t>
        </is>
      </c>
      <c r="N36" s="24" t="inlineStr">
        <is>
          <t>Protected</t>
        </is>
      </c>
      <c r="O36" s="24" t="inlineStr">
        <is>
          <t>No</t>
        </is>
      </c>
      <c r="P36" s="24" t="inlineStr">
        <is>
          <t>Clean</t>
        </is>
      </c>
      <c r="Q36" s="25" t="inlineStr">
        <is>
          <t>None</t>
        </is>
      </c>
      <c r="R36" s="28" t="n">
        <v>5</v>
      </c>
      <c r="S36" s="32" t="inlineStr">
        <is>
          <t>Very Secure</t>
        </is>
      </c>
      <c r="T36" s="32" t="inlineStr">
        <is>
          <t>LOW</t>
        </is>
      </c>
      <c r="U36" s="24" t="inlineStr">
        <is>
          <t>$250 (Routine Audit / Audit Retainer)</t>
        </is>
      </c>
      <c r="V36" s="29" t="inlineStr">
        <is>
          <t>LinkedIn Outreach to Owner / Operations Manager</t>
        </is>
      </c>
      <c r="W36" s="29" t="inlineStr">
        <is>
          <t>Digital Security Posture Review for Fortis Hospital Mulund</t>
        </is>
      </c>
      <c r="X36" s="29" t="inlineStr">
        <is>
          <t>We have run a digital presence scan on Fortis Hospital Mulund and verified that your primary protocols are secure. We offer routine scanning packages to maintain this posture.</t>
        </is>
      </c>
      <c r="Y36" s="29" t="inlineStr">
        <is>
          <t>General Maintenance &amp; Continuous Security Penetration Scanning</t>
        </is>
      </c>
      <c r="Z36" s="29" t="inlineStr">
        <is>
          <t>None (All Secure)</t>
        </is>
      </c>
      <c r="AA36" s="29" t="inlineStr">
        <is>
          <t>Maintain existing secure posture. Schedule routine security auditing and patch CMS regularly.</t>
        </is>
      </c>
    </row>
    <row r="37" ht="288" customHeight="1">
      <c r="A37" s="10" t="inlineStr">
        <is>
          <t>BIZ-18</t>
        </is>
      </c>
      <c r="B37" s="9" t="inlineStr">
        <is>
          <t>KIMS Hospitals Secunderabad</t>
        </is>
      </c>
      <c r="C37" s="9" t="inlineStr">
        <is>
          <t>Healthcare &amp; Clinics</t>
        </is>
      </c>
      <c r="D37" s="10" t="inlineStr">
        <is>
          <t>Hyderabad</t>
        </is>
      </c>
      <c r="E37" s="19" t="n">
        <v>4.1</v>
      </c>
      <c r="F37" s="20" t="n">
        <v>2400</v>
      </c>
      <c r="G37" s="10" t="inlineStr">
        <is>
          <t>Yes</t>
        </is>
      </c>
      <c r="H37" s="10" t="inlineStr">
        <is>
          <t>Active</t>
        </is>
      </c>
      <c r="I37" s="9" t="inlineStr">
        <is>
          <t>https://kimshospitals.com</t>
        </is>
      </c>
      <c r="J37" s="10" t="inlineStr">
        <is>
          <t>Yes</t>
        </is>
      </c>
      <c r="K37" s="10" t="inlineStr">
        <is>
          <t>Valid</t>
        </is>
      </c>
      <c r="L37" s="10" t="inlineStr">
        <is>
          <t>Sectigo</t>
        </is>
      </c>
      <c r="M37" s="10" t="inlineStr">
        <is>
          <t>No</t>
        </is>
      </c>
      <c r="N37" s="10" t="inlineStr">
        <is>
          <t>Protected</t>
        </is>
      </c>
      <c r="O37" s="10" t="inlineStr">
        <is>
          <t>No</t>
        </is>
      </c>
      <c r="P37" s="10" t="inlineStr">
        <is>
          <t>Clean</t>
        </is>
      </c>
      <c r="Q37" s="9" t="inlineStr">
        <is>
          <t>None</t>
        </is>
      </c>
      <c r="R37" s="21" t="n">
        <v>5</v>
      </c>
      <c r="S37" s="32" t="inlineStr">
        <is>
          <t>Very Secure</t>
        </is>
      </c>
      <c r="T37" s="32" t="inlineStr">
        <is>
          <t>LOW</t>
        </is>
      </c>
      <c r="U37" s="10" t="inlineStr">
        <is>
          <t>$250 (Routine Audit / Audit Retainer)</t>
        </is>
      </c>
      <c r="V37" s="23" t="inlineStr">
        <is>
          <t>LinkedIn Outreach to Owner / Operations Manager</t>
        </is>
      </c>
      <c r="W37" s="23" t="inlineStr">
        <is>
          <t>Digital Security Posture Review for KIMS Hospitals Secunderabad</t>
        </is>
      </c>
      <c r="X37" s="23" t="inlineStr">
        <is>
          <t>We have run a digital presence scan on KIMS Hospitals Secunderabad and verified that your primary protocols are secure. We offer routine scanning packages to maintain this posture.</t>
        </is>
      </c>
      <c r="Y37" s="23" t="inlineStr">
        <is>
          <t>General Maintenance &amp; Continuous Security Penetration Scanning</t>
        </is>
      </c>
      <c r="Z37" s="23" t="inlineStr">
        <is>
          <t>None (All Secure)</t>
        </is>
      </c>
      <c r="AA37" s="23" t="inlineStr">
        <is>
          <t>Maintain existing secure posture. Schedule routine security auditing and patch CMS regularly.</t>
        </is>
      </c>
    </row>
    <row r="38" ht="288" customHeight="1">
      <c r="A38" s="24" t="inlineStr">
        <is>
          <t>BIZ-14</t>
        </is>
      </c>
      <c r="B38" s="25" t="inlineStr">
        <is>
          <t>Lilavati Hospital &amp; Research Centre</t>
        </is>
      </c>
      <c r="C38" s="25" t="inlineStr">
        <is>
          <t>Healthcare &amp; Clinics</t>
        </is>
      </c>
      <c r="D38" s="24" t="inlineStr">
        <is>
          <t>Mumbai</t>
        </is>
      </c>
      <c r="E38" s="26" t="n">
        <v>4</v>
      </c>
      <c r="F38" s="27" t="n">
        <v>1900</v>
      </c>
      <c r="G38" s="24" t="inlineStr">
        <is>
          <t>Yes</t>
        </is>
      </c>
      <c r="H38" s="24" t="inlineStr">
        <is>
          <t>Active</t>
        </is>
      </c>
      <c r="I38" s="25" t="inlineStr">
        <is>
          <t>https://lilavatihospital.com</t>
        </is>
      </c>
      <c r="J38" s="24" t="inlineStr">
        <is>
          <t>Yes</t>
        </is>
      </c>
      <c r="K38" s="24" t="inlineStr">
        <is>
          <t>Valid</t>
        </is>
      </c>
      <c r="L38" s="24" t="inlineStr">
        <is>
          <t>GlobalSign</t>
        </is>
      </c>
      <c r="M38" s="24" t="inlineStr">
        <is>
          <t>No</t>
        </is>
      </c>
      <c r="N38" s="24" t="inlineStr">
        <is>
          <t>Protected</t>
        </is>
      </c>
      <c r="O38" s="24" t="inlineStr">
        <is>
          <t>No</t>
        </is>
      </c>
      <c r="P38" s="24" t="inlineStr">
        <is>
          <t>Clean</t>
        </is>
      </c>
      <c r="Q38" s="25" t="inlineStr">
        <is>
          <t>CSP</t>
        </is>
      </c>
      <c r="R38" s="28" t="n">
        <v>5</v>
      </c>
      <c r="S38" s="32" t="inlineStr">
        <is>
          <t>Very Secure</t>
        </is>
      </c>
      <c r="T38" s="32" t="inlineStr">
        <is>
          <t>LOW</t>
        </is>
      </c>
      <c r="U38" s="24" t="inlineStr">
        <is>
          <t>$250 (Routine Audit / Audit Retainer)</t>
        </is>
      </c>
      <c r="V38" s="29" t="inlineStr">
        <is>
          <t>LinkedIn Outreach to Owner / Operations Manager</t>
        </is>
      </c>
      <c r="W38" s="29" t="inlineStr">
        <is>
          <t>Digital Security Posture Review for Lilavati Hospital &amp; Research Centre</t>
        </is>
      </c>
      <c r="X38" s="29" t="inlineStr">
        <is>
          <t>We have run a digital presence scan on Lilavati Hospital &amp; Research Centre and verified that your primary protocols are secure. We offer routine scanning packages to maintain this posture.</t>
        </is>
      </c>
      <c r="Y38" s="29" t="inlineStr">
        <is>
          <t>General Maintenance &amp; Continuous Security Penetration Scanning</t>
        </is>
      </c>
      <c r="Z38" s="29" t="inlineStr">
        <is>
          <t>None (All Secure)</t>
        </is>
      </c>
      <c r="AA38" s="29" t="inlineStr">
        <is>
          <t>Maintain existing secure posture. Schedule routine security auditing and patch CMS regularly.</t>
        </is>
      </c>
    </row>
    <row r="39" ht="252" customHeight="1">
      <c r="A39" s="10" t="inlineStr">
        <is>
          <t>BIZ-27</t>
        </is>
      </c>
      <c r="B39" s="9" t="inlineStr">
        <is>
          <t>Manyavar</t>
        </is>
      </c>
      <c r="C39" s="9" t="inlineStr">
        <is>
          <t>Retail &amp; Shops</t>
        </is>
      </c>
      <c r="D39" s="10" t="inlineStr">
        <is>
          <t>Kolkata</t>
        </is>
      </c>
      <c r="E39" s="19" t="n">
        <v>4.4</v>
      </c>
      <c r="F39" s="20" t="n">
        <v>1500</v>
      </c>
      <c r="G39" s="10" t="inlineStr">
        <is>
          <t>Yes</t>
        </is>
      </c>
      <c r="H39" s="10" t="inlineStr">
        <is>
          <t>Active</t>
        </is>
      </c>
      <c r="I39" s="9" t="inlineStr">
        <is>
          <t>https://manyavar.com</t>
        </is>
      </c>
      <c r="J39" s="10" t="inlineStr">
        <is>
          <t>Yes</t>
        </is>
      </c>
      <c r="K39" s="10" t="inlineStr">
        <is>
          <t>Valid</t>
        </is>
      </c>
      <c r="L39" s="10" t="inlineStr">
        <is>
          <t>Sectigo</t>
        </is>
      </c>
      <c r="M39" s="10" t="inlineStr">
        <is>
          <t>No</t>
        </is>
      </c>
      <c r="N39" s="10" t="inlineStr">
        <is>
          <t>Protected</t>
        </is>
      </c>
      <c r="O39" s="10" t="inlineStr">
        <is>
          <t>No</t>
        </is>
      </c>
      <c r="P39" s="10" t="inlineStr">
        <is>
          <t>Clean</t>
        </is>
      </c>
      <c r="Q39" s="9" t="inlineStr">
        <is>
          <t>None</t>
        </is>
      </c>
      <c r="R39" s="21" t="n">
        <v>5</v>
      </c>
      <c r="S39" s="32" t="inlineStr">
        <is>
          <t>Very Secure</t>
        </is>
      </c>
      <c r="T39" s="32" t="inlineStr">
        <is>
          <t>LOW</t>
        </is>
      </c>
      <c r="U39" s="10" t="inlineStr">
        <is>
          <t>$250 (Routine Audit / Audit Retainer)</t>
        </is>
      </c>
      <c r="V39" s="23" t="inlineStr">
        <is>
          <t>LinkedIn Outreach to Owner / Operations Manager</t>
        </is>
      </c>
      <c r="W39" s="23" t="inlineStr">
        <is>
          <t>Digital Security Posture Review for Manyavar</t>
        </is>
      </c>
      <c r="X39" s="23" t="inlineStr">
        <is>
          <t>We have run a digital presence scan on Manyavar and verified that your primary protocols are secure. We offer routine scanning packages to maintain this posture.</t>
        </is>
      </c>
      <c r="Y39" s="23" t="inlineStr">
        <is>
          <t>General Maintenance &amp; Continuous Security Penetration Scanning</t>
        </is>
      </c>
      <c r="Z39" s="23" t="inlineStr">
        <is>
          <t>None (All Secure)</t>
        </is>
      </c>
      <c r="AA39" s="23" t="inlineStr">
        <is>
          <t>Maintain existing secure posture. Schedule routine security auditing and patch CMS regularly.</t>
        </is>
      </c>
    </row>
    <row r="40" ht="288" customHeight="1">
      <c r="A40" s="24" t="inlineStr">
        <is>
          <t>BIZ-29</t>
        </is>
      </c>
      <c r="B40" s="25" t="inlineStr">
        <is>
          <t>Ratnadeep Supermarket Jubilee Hills</t>
        </is>
      </c>
      <c r="C40" s="25" t="inlineStr">
        <is>
          <t>Retail &amp; Shops</t>
        </is>
      </c>
      <c r="D40" s="24" t="inlineStr">
        <is>
          <t>Hyderabad</t>
        </is>
      </c>
      <c r="E40" s="26" t="n">
        <v>4.3</v>
      </c>
      <c r="F40" s="27" t="n">
        <v>1100</v>
      </c>
      <c r="G40" s="24" t="inlineStr">
        <is>
          <t>Yes</t>
        </is>
      </c>
      <c r="H40" s="24" t="inlineStr">
        <is>
          <t>Active</t>
        </is>
      </c>
      <c r="I40" s="25" t="inlineStr">
        <is>
          <t>https://ratnadeep.com</t>
        </is>
      </c>
      <c r="J40" s="24" t="inlineStr">
        <is>
          <t>Yes</t>
        </is>
      </c>
      <c r="K40" s="24" t="inlineStr">
        <is>
          <t>Valid</t>
        </is>
      </c>
      <c r="L40" s="24" t="inlineStr">
        <is>
          <t>Cloudflare</t>
        </is>
      </c>
      <c r="M40" s="24" t="inlineStr">
        <is>
          <t>No</t>
        </is>
      </c>
      <c r="N40" s="24" t="inlineStr">
        <is>
          <t>Protected</t>
        </is>
      </c>
      <c r="O40" s="24" t="inlineStr">
        <is>
          <t>No</t>
        </is>
      </c>
      <c r="P40" s="24" t="inlineStr">
        <is>
          <t>Clean</t>
        </is>
      </c>
      <c r="Q40" s="25" t="inlineStr">
        <is>
          <t>CSP</t>
        </is>
      </c>
      <c r="R40" s="28" t="n">
        <v>5</v>
      </c>
      <c r="S40" s="32" t="inlineStr">
        <is>
          <t>Very Secure</t>
        </is>
      </c>
      <c r="T40" s="32" t="inlineStr">
        <is>
          <t>LOW</t>
        </is>
      </c>
      <c r="U40" s="24" t="inlineStr">
        <is>
          <t>$250 (Routine Audit / Audit Retainer)</t>
        </is>
      </c>
      <c r="V40" s="29" t="inlineStr">
        <is>
          <t>LinkedIn Outreach to Owner / Operations Manager</t>
        </is>
      </c>
      <c r="W40" s="29" t="inlineStr">
        <is>
          <t>Digital Security Posture Review for Ratnadeep Supermarket Jubilee Hills</t>
        </is>
      </c>
      <c r="X40" s="29" t="inlineStr">
        <is>
          <t>We have run a digital presence scan on Ratnadeep Supermarket Jubilee Hills and verified that your primary protocols are secure. We offer routine scanning packages to maintain this posture.</t>
        </is>
      </c>
      <c r="Y40" s="29" t="inlineStr">
        <is>
          <t>General Maintenance &amp; Continuous Security Penetration Scanning</t>
        </is>
      </c>
      <c r="Z40" s="29" t="inlineStr">
        <is>
          <t>None (All Secure)</t>
        </is>
      </c>
      <c r="AA40" s="29" t="inlineStr">
        <is>
          <t>Maintain existing secure posture. Schedule routine security auditing and patch CMS regularly.</t>
        </is>
      </c>
    </row>
    <row r="41" ht="270" customHeight="1">
      <c r="A41" s="10" t="inlineStr">
        <is>
          <t>BIZ-47</t>
        </is>
      </c>
      <c r="B41" s="9" t="inlineStr">
        <is>
          <t>Wildflower Hall Anamika</t>
        </is>
      </c>
      <c r="C41" s="9" t="inlineStr">
        <is>
          <t>Hospitality &amp; Hotels</t>
        </is>
      </c>
      <c r="D41" s="10" t="inlineStr">
        <is>
          <t>Shimla</t>
        </is>
      </c>
      <c r="E41" s="19" t="n">
        <v>4.8</v>
      </c>
      <c r="F41" s="20" t="n">
        <v>1100</v>
      </c>
      <c r="G41" s="10" t="inlineStr">
        <is>
          <t>Yes</t>
        </is>
      </c>
      <c r="H41" s="10" t="inlineStr">
        <is>
          <t>Active</t>
        </is>
      </c>
      <c r="I41" s="9" t="inlineStr">
        <is>
          <t>https://oberoihotels.com</t>
        </is>
      </c>
      <c r="J41" s="10" t="inlineStr">
        <is>
          <t>Yes</t>
        </is>
      </c>
      <c r="K41" s="10" t="inlineStr">
        <is>
          <t>Valid</t>
        </is>
      </c>
      <c r="L41" s="10" t="inlineStr">
        <is>
          <t>DigiCert</t>
        </is>
      </c>
      <c r="M41" s="10" t="inlineStr">
        <is>
          <t>No</t>
        </is>
      </c>
      <c r="N41" s="10" t="inlineStr">
        <is>
          <t>Protected</t>
        </is>
      </c>
      <c r="O41" s="10" t="inlineStr">
        <is>
          <t>No</t>
        </is>
      </c>
      <c r="P41" s="10" t="inlineStr">
        <is>
          <t>Clean</t>
        </is>
      </c>
      <c r="Q41" s="9" t="inlineStr">
        <is>
          <t>None</t>
        </is>
      </c>
      <c r="R41" s="21" t="n">
        <v>5</v>
      </c>
      <c r="S41" s="32" t="inlineStr">
        <is>
          <t>Very Secure</t>
        </is>
      </c>
      <c r="T41" s="32" t="inlineStr">
        <is>
          <t>LOW</t>
        </is>
      </c>
      <c r="U41" s="10" t="inlineStr">
        <is>
          <t>$250 (Routine Audit / Audit Retainer)</t>
        </is>
      </c>
      <c r="V41" s="23" t="inlineStr">
        <is>
          <t>LinkedIn Outreach to Owner / Operations Manager</t>
        </is>
      </c>
      <c r="W41" s="23" t="inlineStr">
        <is>
          <t>Digital Security Posture Review for Wildflower Hall Anamika</t>
        </is>
      </c>
      <c r="X41" s="23" t="inlineStr">
        <is>
          <t>We have run a digital presence scan on Wildflower Hall Anamika and verified that your primary protocols are secure. We offer routine scanning packages to maintain this posture.</t>
        </is>
      </c>
      <c r="Y41" s="23" t="inlineStr">
        <is>
          <t>General Maintenance &amp; Continuous Security Penetration Scanning</t>
        </is>
      </c>
      <c r="Z41" s="23" t="inlineStr">
        <is>
          <t>None (All Secure)</t>
        </is>
      </c>
      <c r="AA41" s="23" t="inlineStr">
        <is>
          <t>Maintain existing secure posture. Schedule routine security auditing and patch CMS regularly.</t>
        </is>
      </c>
    </row>
    <row r="42" ht="252" customHeight="1">
      <c r="A42" s="24" t="inlineStr">
        <is>
          <t>BIZ-26</t>
        </is>
      </c>
      <c r="B42" s="25" t="inlineStr">
        <is>
          <t>Fabindia Fort</t>
        </is>
      </c>
      <c r="C42" s="25" t="inlineStr">
        <is>
          <t>Retail &amp; Shops</t>
        </is>
      </c>
      <c r="D42" s="24" t="inlineStr">
        <is>
          <t>Mumbai</t>
        </is>
      </c>
      <c r="E42" s="26" t="n">
        <v>4.2</v>
      </c>
      <c r="F42" s="27" t="n">
        <v>980</v>
      </c>
      <c r="G42" s="24" t="inlineStr">
        <is>
          <t>Yes</t>
        </is>
      </c>
      <c r="H42" s="24" t="inlineStr">
        <is>
          <t>Active</t>
        </is>
      </c>
      <c r="I42" s="25" t="inlineStr">
        <is>
          <t>https://fabindia.com</t>
        </is>
      </c>
      <c r="J42" s="24" t="inlineStr">
        <is>
          <t>Yes</t>
        </is>
      </c>
      <c r="K42" s="24" t="inlineStr">
        <is>
          <t>Valid</t>
        </is>
      </c>
      <c r="L42" s="24" t="inlineStr">
        <is>
          <t>DigiCert</t>
        </is>
      </c>
      <c r="M42" s="24" t="inlineStr">
        <is>
          <t>No</t>
        </is>
      </c>
      <c r="N42" s="24" t="inlineStr">
        <is>
          <t>Protected</t>
        </is>
      </c>
      <c r="O42" s="24" t="inlineStr">
        <is>
          <t>No</t>
        </is>
      </c>
      <c r="P42" s="24" t="inlineStr">
        <is>
          <t>Clean</t>
        </is>
      </c>
      <c r="Q42" s="25" t="inlineStr">
        <is>
          <t>None</t>
        </is>
      </c>
      <c r="R42" s="28" t="n">
        <v>5</v>
      </c>
      <c r="S42" s="32" t="inlineStr">
        <is>
          <t>Very Secure</t>
        </is>
      </c>
      <c r="T42" s="32" t="inlineStr">
        <is>
          <t>LOW</t>
        </is>
      </c>
      <c r="U42" s="24" t="inlineStr">
        <is>
          <t>$250 (Routine Audit / Audit Retainer)</t>
        </is>
      </c>
      <c r="V42" s="29" t="inlineStr">
        <is>
          <t>LinkedIn Outreach to Owner / Operations Manager</t>
        </is>
      </c>
      <c r="W42" s="29" t="inlineStr">
        <is>
          <t>Digital Security Posture Review for Fabindia Fort</t>
        </is>
      </c>
      <c r="X42" s="29" t="inlineStr">
        <is>
          <t>We have run a digital presence scan on Fabindia Fort and verified that your primary protocols are secure. We offer routine scanning packages to maintain this posture.</t>
        </is>
      </c>
      <c r="Y42" s="29" t="inlineStr">
        <is>
          <t>General Maintenance &amp; Continuous Security Penetration Scanning</t>
        </is>
      </c>
      <c r="Z42" s="29" t="inlineStr">
        <is>
          <t>None (All Secure)</t>
        </is>
      </c>
      <c r="AA42" s="29" t="inlineStr">
        <is>
          <t>Maintain existing secure posture. Schedule routine security auditing and patch CMS regularly.</t>
        </is>
      </c>
    </row>
    <row r="43" ht="288" customHeight="1">
      <c r="A43" s="10" t="inlineStr">
        <is>
          <t>BIZ-22</t>
        </is>
      </c>
      <c r="B43" s="9" t="inlineStr">
        <is>
          <t>Bahrisons Booksellers Khan Mkt</t>
        </is>
      </c>
      <c r="C43" s="9" t="inlineStr">
        <is>
          <t>Retail &amp; Shops</t>
        </is>
      </c>
      <c r="D43" s="10" t="inlineStr">
        <is>
          <t>Delhi</t>
        </is>
      </c>
      <c r="E43" s="19" t="n">
        <v>4.7</v>
      </c>
      <c r="F43" s="20" t="n">
        <v>890</v>
      </c>
      <c r="G43" s="10" t="inlineStr">
        <is>
          <t>Yes</t>
        </is>
      </c>
      <c r="H43" s="10" t="inlineStr">
        <is>
          <t>Active</t>
        </is>
      </c>
      <c r="I43" s="9" t="inlineStr">
        <is>
          <t>https://bahrisons.in</t>
        </is>
      </c>
      <c r="J43" s="10" t="inlineStr">
        <is>
          <t>Yes</t>
        </is>
      </c>
      <c r="K43" s="10" t="inlineStr">
        <is>
          <t>Valid</t>
        </is>
      </c>
      <c r="L43" s="10" t="inlineStr">
        <is>
          <t>Sectigo</t>
        </is>
      </c>
      <c r="M43" s="10" t="inlineStr">
        <is>
          <t>No</t>
        </is>
      </c>
      <c r="N43" s="10" t="inlineStr">
        <is>
          <t>Protected</t>
        </is>
      </c>
      <c r="O43" s="10" t="inlineStr">
        <is>
          <t>No</t>
        </is>
      </c>
      <c r="P43" s="10" t="inlineStr">
        <is>
          <t>Clean</t>
        </is>
      </c>
      <c r="Q43" s="9" t="inlineStr">
        <is>
          <t>CSP, HSTS</t>
        </is>
      </c>
      <c r="R43" s="21" t="n">
        <v>5</v>
      </c>
      <c r="S43" s="32" t="inlineStr">
        <is>
          <t>Very Secure</t>
        </is>
      </c>
      <c r="T43" s="32" t="inlineStr">
        <is>
          <t>LOW</t>
        </is>
      </c>
      <c r="U43" s="10" t="inlineStr">
        <is>
          <t>$250 (Routine Audit / Audit Retainer)</t>
        </is>
      </c>
      <c r="V43" s="23" t="inlineStr">
        <is>
          <t>LinkedIn Outreach to Owner / Operations Manager</t>
        </is>
      </c>
      <c r="W43" s="23" t="inlineStr">
        <is>
          <t>Digital Security Posture Review for Bahrisons Booksellers Khan Mkt</t>
        </is>
      </c>
      <c r="X43" s="23" t="inlineStr">
        <is>
          <t>We have run a digital presence scan on Bahrisons Booksellers Khan Mkt and verified that your primary protocols are secure. We offer routine scanning packages to maintain this posture.</t>
        </is>
      </c>
      <c r="Y43" s="23" t="inlineStr">
        <is>
          <t>General Maintenance &amp; Continuous Security Penetration Scanning</t>
        </is>
      </c>
      <c r="Z43" s="23" t="inlineStr">
        <is>
          <t>None (All Secure)</t>
        </is>
      </c>
      <c r="AA43" s="23" t="inlineStr">
        <is>
          <t>Maintain existing secure posture. Schedule routine security auditing and patch CMS regularly.</t>
        </is>
      </c>
    </row>
    <row r="44" ht="288" customHeight="1">
      <c r="A44" s="24" t="inlineStr">
        <is>
          <t>BIZ-23</t>
        </is>
      </c>
      <c r="B44" s="25" t="inlineStr">
        <is>
          <t>Sabyasachi Flagship Store Kolkata</t>
        </is>
      </c>
      <c r="C44" s="25" t="inlineStr">
        <is>
          <t>Retail &amp; Shops</t>
        </is>
      </c>
      <c r="D44" s="24" t="inlineStr">
        <is>
          <t>Kolkata</t>
        </is>
      </c>
      <c r="E44" s="26" t="n">
        <v>4.6</v>
      </c>
      <c r="F44" s="27" t="n">
        <v>650</v>
      </c>
      <c r="G44" s="24" t="inlineStr">
        <is>
          <t>Yes</t>
        </is>
      </c>
      <c r="H44" s="24" t="inlineStr">
        <is>
          <t>Active</t>
        </is>
      </c>
      <c r="I44" s="25" t="inlineStr">
        <is>
          <t>https://sabyasachi.com</t>
        </is>
      </c>
      <c r="J44" s="24" t="inlineStr">
        <is>
          <t>Yes</t>
        </is>
      </c>
      <c r="K44" s="24" t="inlineStr">
        <is>
          <t>Valid</t>
        </is>
      </c>
      <c r="L44" s="24" t="inlineStr">
        <is>
          <t>DigiCert</t>
        </is>
      </c>
      <c r="M44" s="24" t="inlineStr">
        <is>
          <t>No</t>
        </is>
      </c>
      <c r="N44" s="24" t="inlineStr">
        <is>
          <t>Protected</t>
        </is>
      </c>
      <c r="O44" s="24" t="inlineStr">
        <is>
          <t>No</t>
        </is>
      </c>
      <c r="P44" s="24" t="inlineStr">
        <is>
          <t>Clean</t>
        </is>
      </c>
      <c r="Q44" s="25" t="inlineStr">
        <is>
          <t>None</t>
        </is>
      </c>
      <c r="R44" s="28" t="n">
        <v>5</v>
      </c>
      <c r="S44" s="32" t="inlineStr">
        <is>
          <t>Very Secure</t>
        </is>
      </c>
      <c r="T44" s="32" t="inlineStr">
        <is>
          <t>LOW</t>
        </is>
      </c>
      <c r="U44" s="24" t="inlineStr">
        <is>
          <t>$250 (Routine Audit / Audit Retainer)</t>
        </is>
      </c>
      <c r="V44" s="29" t="inlineStr">
        <is>
          <t>LinkedIn Outreach to Owner / Operations Manager</t>
        </is>
      </c>
      <c r="W44" s="29" t="inlineStr">
        <is>
          <t>Digital Security Posture Review for Sabyasachi Flagship Store Kolkata</t>
        </is>
      </c>
      <c r="X44" s="29" t="inlineStr">
        <is>
          <t>We have run a digital presence scan on Sabyasachi Flagship Store Kolkata and verified that your primary protocols are secure. We offer routine scanning packages to maintain this posture.</t>
        </is>
      </c>
      <c r="Y44" s="29" t="inlineStr">
        <is>
          <t>General Maintenance &amp; Continuous Security Penetration Scanning</t>
        </is>
      </c>
      <c r="Z44" s="29" t="inlineStr">
        <is>
          <t>None (All Secure)</t>
        </is>
      </c>
      <c r="AA44" s="29" t="inlineStr">
        <is>
          <t>Maintain existing secure posture. Schedule routine security auditing and patch CMS regularly.</t>
        </is>
      </c>
    </row>
    <row r="45" ht="270" customHeight="1">
      <c r="A45" s="10" t="inlineStr">
        <is>
          <t>BIZ-48</t>
        </is>
      </c>
      <c r="B45" s="9" t="inlineStr">
        <is>
          <t>Brunton Boatyard</t>
        </is>
      </c>
      <c r="C45" s="9" t="inlineStr">
        <is>
          <t>Hospitality &amp; Hotels</t>
        </is>
      </c>
      <c r="D45" s="10" t="inlineStr">
        <is>
          <t>Kochi</t>
        </is>
      </c>
      <c r="E45" s="19" t="n">
        <v>4.5</v>
      </c>
      <c r="F45" s="20" t="n">
        <v>450</v>
      </c>
      <c r="G45" s="10" t="inlineStr">
        <is>
          <t>Yes</t>
        </is>
      </c>
      <c r="H45" s="10" t="inlineStr">
        <is>
          <t>Active</t>
        </is>
      </c>
      <c r="I45" s="9" t="inlineStr">
        <is>
          <t>https://cghearth.com</t>
        </is>
      </c>
      <c r="J45" s="10" t="inlineStr">
        <is>
          <t>Yes</t>
        </is>
      </c>
      <c r="K45" s="10" t="inlineStr">
        <is>
          <t>Valid</t>
        </is>
      </c>
      <c r="L45" s="10" t="inlineStr">
        <is>
          <t>GeoTrust</t>
        </is>
      </c>
      <c r="M45" s="10" t="inlineStr">
        <is>
          <t>No</t>
        </is>
      </c>
      <c r="N45" s="10" t="inlineStr">
        <is>
          <t>Protected</t>
        </is>
      </c>
      <c r="O45" s="10" t="inlineStr">
        <is>
          <t>No</t>
        </is>
      </c>
      <c r="P45" s="10" t="inlineStr">
        <is>
          <t>Clean</t>
        </is>
      </c>
      <c r="Q45" s="9" t="inlineStr">
        <is>
          <t>None</t>
        </is>
      </c>
      <c r="R45" s="21" t="n">
        <v>5</v>
      </c>
      <c r="S45" s="32" t="inlineStr">
        <is>
          <t>Very Secure</t>
        </is>
      </c>
      <c r="T45" s="32" t="inlineStr">
        <is>
          <t>LOW</t>
        </is>
      </c>
      <c r="U45" s="10" t="inlineStr">
        <is>
          <t>$250 (Routine Audit / Audit Retainer)</t>
        </is>
      </c>
      <c r="V45" s="23" t="inlineStr">
        <is>
          <t>LinkedIn Outreach to Owner / Operations Manager</t>
        </is>
      </c>
      <c r="W45" s="23" t="inlineStr">
        <is>
          <t>Digital Security Posture Review for Brunton Boatyard</t>
        </is>
      </c>
      <c r="X45" s="23" t="inlineStr">
        <is>
          <t>We have run a digital presence scan on Brunton Boatyard and verified that your primary protocols are secure. We offer routine scanning packages to maintain this posture.</t>
        </is>
      </c>
      <c r="Y45" s="23" t="inlineStr">
        <is>
          <t>General Maintenance &amp; Continuous Security Penetration Scanning</t>
        </is>
      </c>
      <c r="Z45" s="23" t="inlineStr">
        <is>
          <t>None (All Secure)</t>
        </is>
      </c>
      <c r="AA45" s="23" t="inlineStr">
        <is>
          <t>Maintain existing secure posture. Schedule routine security auditing and patch CMS regularly.</t>
        </is>
      </c>
    </row>
    <row r="46" ht="270" customHeight="1">
      <c r="A46" s="24" t="inlineStr">
        <is>
          <t>BIZ-31</t>
        </is>
      </c>
      <c r="B46" s="25" t="inlineStr">
        <is>
          <t>Cyril Amarchand Mangaldas</t>
        </is>
      </c>
      <c r="C46" s="25" t="inlineStr">
        <is>
          <t>Professional Services</t>
        </is>
      </c>
      <c r="D46" s="24" t="inlineStr">
        <is>
          <t>Mumbai</t>
        </is>
      </c>
      <c r="E46" s="26" t="n">
        <v>4.5</v>
      </c>
      <c r="F46" s="27" t="n">
        <v>210</v>
      </c>
      <c r="G46" s="24" t="inlineStr">
        <is>
          <t>Yes</t>
        </is>
      </c>
      <c r="H46" s="24" t="inlineStr">
        <is>
          <t>Active</t>
        </is>
      </c>
      <c r="I46" s="25" t="inlineStr">
        <is>
          <t>https://cyrilshroff.com</t>
        </is>
      </c>
      <c r="J46" s="24" t="inlineStr">
        <is>
          <t>Yes</t>
        </is>
      </c>
      <c r="K46" s="24" t="inlineStr">
        <is>
          <t>Valid</t>
        </is>
      </c>
      <c r="L46" s="24" t="inlineStr">
        <is>
          <t>DigiCert</t>
        </is>
      </c>
      <c r="M46" s="24" t="inlineStr">
        <is>
          <t>No</t>
        </is>
      </c>
      <c r="N46" s="24" t="inlineStr">
        <is>
          <t>Protected</t>
        </is>
      </c>
      <c r="O46" s="24" t="inlineStr">
        <is>
          <t>No</t>
        </is>
      </c>
      <c r="P46" s="24" t="inlineStr">
        <is>
          <t>Clean</t>
        </is>
      </c>
      <c r="Q46" s="25" t="inlineStr">
        <is>
          <t>CSP, HSTS</t>
        </is>
      </c>
      <c r="R46" s="28" t="n">
        <v>5</v>
      </c>
      <c r="S46" s="32" t="inlineStr">
        <is>
          <t>Very Secure</t>
        </is>
      </c>
      <c r="T46" s="32" t="inlineStr">
        <is>
          <t>LOW</t>
        </is>
      </c>
      <c r="U46" s="24" t="inlineStr">
        <is>
          <t>$250 (Routine Audit / Audit Retainer)</t>
        </is>
      </c>
      <c r="V46" s="29" t="inlineStr">
        <is>
          <t>LinkedIn Outreach to Owner / Operations Manager</t>
        </is>
      </c>
      <c r="W46" s="29" t="inlineStr">
        <is>
          <t>Digital Security Posture Review for Cyril Amarchand Mangaldas</t>
        </is>
      </c>
      <c r="X46" s="29" t="inlineStr">
        <is>
          <t>We have run a digital presence scan on Cyril Amarchand Mangaldas and verified that your primary protocols are secure. We offer routine scanning packages to maintain this posture.</t>
        </is>
      </c>
      <c r="Y46" s="29" t="inlineStr">
        <is>
          <t>General Maintenance &amp; Continuous Security Penetration Scanning</t>
        </is>
      </c>
      <c r="Z46" s="29" t="inlineStr">
        <is>
          <t>None (All Secure)</t>
        </is>
      </c>
      <c r="AA46" s="29" t="inlineStr">
        <is>
          <t>Maintain existing secure posture. Schedule routine security auditing and patch CMS regularly.</t>
        </is>
      </c>
    </row>
    <row r="47" ht="270" customHeight="1">
      <c r="A47" s="10" t="inlineStr">
        <is>
          <t>BIZ-34</t>
        </is>
      </c>
      <c r="B47" s="9" t="inlineStr">
        <is>
          <t>Khaitan &amp; Co Advocates</t>
        </is>
      </c>
      <c r="C47" s="9" t="inlineStr">
        <is>
          <t>Professional Services</t>
        </is>
      </c>
      <c r="D47" s="10" t="inlineStr">
        <is>
          <t>Kolkata</t>
        </is>
      </c>
      <c r="E47" s="19" t="n">
        <v>4.5</v>
      </c>
      <c r="F47" s="20" t="n">
        <v>190</v>
      </c>
      <c r="G47" s="10" t="inlineStr">
        <is>
          <t>Yes</t>
        </is>
      </c>
      <c r="H47" s="10" t="inlineStr">
        <is>
          <t>Active</t>
        </is>
      </c>
      <c r="I47" s="9" t="inlineStr">
        <is>
          <t>https://khaitanco.com</t>
        </is>
      </c>
      <c r="J47" s="10" t="inlineStr">
        <is>
          <t>Yes</t>
        </is>
      </c>
      <c r="K47" s="10" t="inlineStr">
        <is>
          <t>Valid</t>
        </is>
      </c>
      <c r="L47" s="10" t="inlineStr">
        <is>
          <t>DigiCert</t>
        </is>
      </c>
      <c r="M47" s="10" t="inlineStr">
        <is>
          <t>No</t>
        </is>
      </c>
      <c r="N47" s="10" t="inlineStr">
        <is>
          <t>Protected</t>
        </is>
      </c>
      <c r="O47" s="10" t="inlineStr">
        <is>
          <t>No</t>
        </is>
      </c>
      <c r="P47" s="10" t="inlineStr">
        <is>
          <t>Clean</t>
        </is>
      </c>
      <c r="Q47" s="9" t="inlineStr">
        <is>
          <t>None</t>
        </is>
      </c>
      <c r="R47" s="21" t="n">
        <v>5</v>
      </c>
      <c r="S47" s="32" t="inlineStr">
        <is>
          <t>Very Secure</t>
        </is>
      </c>
      <c r="T47" s="32" t="inlineStr">
        <is>
          <t>LOW</t>
        </is>
      </c>
      <c r="U47" s="10" t="inlineStr">
        <is>
          <t>$250 (Routine Audit / Audit Retainer)</t>
        </is>
      </c>
      <c r="V47" s="23" t="inlineStr">
        <is>
          <t>LinkedIn Outreach to Owner / Operations Manager</t>
        </is>
      </c>
      <c r="W47" s="23" t="inlineStr">
        <is>
          <t>Digital Security Posture Review for Khaitan &amp; Co Advocates</t>
        </is>
      </c>
      <c r="X47" s="23" t="inlineStr">
        <is>
          <t>We have run a digital presence scan on Khaitan &amp; Co Advocates and verified that your primary protocols are secure. We offer routine scanning packages to maintain this posture.</t>
        </is>
      </c>
      <c r="Y47" s="23" t="inlineStr">
        <is>
          <t>General Maintenance &amp; Continuous Security Penetration Scanning</t>
        </is>
      </c>
      <c r="Z47" s="23" t="inlineStr">
        <is>
          <t>None (All Secure)</t>
        </is>
      </c>
      <c r="AA47" s="23" t="inlineStr">
        <is>
          <t>Maintain existing secure posture. Schedule routine security auditing and patch CMS regularly.</t>
        </is>
      </c>
    </row>
    <row r="48" ht="288" customHeight="1">
      <c r="A48" s="24" t="inlineStr">
        <is>
          <t>BIZ-32</t>
        </is>
      </c>
      <c r="B48" s="25" t="inlineStr">
        <is>
          <t>AZB &amp; Partners Corporate Office</t>
        </is>
      </c>
      <c r="C48" s="25" t="inlineStr">
        <is>
          <t>Professional Services</t>
        </is>
      </c>
      <c r="D48" s="24" t="inlineStr">
        <is>
          <t>Mumbai</t>
        </is>
      </c>
      <c r="E48" s="26" t="n">
        <v>4.6</v>
      </c>
      <c r="F48" s="27" t="n">
        <v>180</v>
      </c>
      <c r="G48" s="24" t="inlineStr">
        <is>
          <t>Yes</t>
        </is>
      </c>
      <c r="H48" s="24" t="inlineStr">
        <is>
          <t>Active</t>
        </is>
      </c>
      <c r="I48" s="25" t="inlineStr">
        <is>
          <t>https://azbpartners.com</t>
        </is>
      </c>
      <c r="J48" s="24" t="inlineStr">
        <is>
          <t>Yes</t>
        </is>
      </c>
      <c r="K48" s="24" t="inlineStr">
        <is>
          <t>Valid</t>
        </is>
      </c>
      <c r="L48" s="24" t="inlineStr">
        <is>
          <t>DigiCert</t>
        </is>
      </c>
      <c r="M48" s="24" t="inlineStr">
        <is>
          <t>No</t>
        </is>
      </c>
      <c r="N48" s="24" t="inlineStr">
        <is>
          <t>Protected</t>
        </is>
      </c>
      <c r="O48" s="24" t="inlineStr">
        <is>
          <t>No</t>
        </is>
      </c>
      <c r="P48" s="24" t="inlineStr">
        <is>
          <t>Clean</t>
        </is>
      </c>
      <c r="Q48" s="25" t="inlineStr">
        <is>
          <t>None</t>
        </is>
      </c>
      <c r="R48" s="28" t="n">
        <v>5</v>
      </c>
      <c r="S48" s="32" t="inlineStr">
        <is>
          <t>Very Secure</t>
        </is>
      </c>
      <c r="T48" s="32" t="inlineStr">
        <is>
          <t>LOW</t>
        </is>
      </c>
      <c r="U48" s="24" t="inlineStr">
        <is>
          <t>$250 (Routine Audit / Audit Retainer)</t>
        </is>
      </c>
      <c r="V48" s="29" t="inlineStr">
        <is>
          <t>LinkedIn Outreach to Owner / Operations Manager</t>
        </is>
      </c>
      <c r="W48" s="29" t="inlineStr">
        <is>
          <t>Digital Security Posture Review for AZB &amp; Partners Corporate Office</t>
        </is>
      </c>
      <c r="X48" s="29" t="inlineStr">
        <is>
          <t>We have run a digital presence scan on AZB &amp; Partners Corporate Office and verified that your primary protocols are secure. We offer routine scanning packages to maintain this posture.</t>
        </is>
      </c>
      <c r="Y48" s="29" t="inlineStr">
        <is>
          <t>General Maintenance &amp; Continuous Security Penetration Scanning</t>
        </is>
      </c>
      <c r="Z48" s="29" t="inlineStr">
        <is>
          <t>None (All Secure)</t>
        </is>
      </c>
      <c r="AA48" s="29" t="inlineStr">
        <is>
          <t>Maintain existing secure posture. Schedule routine security auditing and patch CMS regularly.</t>
        </is>
      </c>
    </row>
    <row r="49" ht="270" customHeight="1">
      <c r="A49" s="10" t="inlineStr">
        <is>
          <t>BIZ-33</t>
        </is>
      </c>
      <c r="B49" s="9" t="inlineStr">
        <is>
          <t>Trilegal Advocates</t>
        </is>
      </c>
      <c r="C49" s="9" t="inlineStr">
        <is>
          <t>Professional Services</t>
        </is>
      </c>
      <c r="D49" s="10" t="inlineStr">
        <is>
          <t>Delhi</t>
        </is>
      </c>
      <c r="E49" s="19" t="n">
        <v>4.4</v>
      </c>
      <c r="F49" s="20" t="n">
        <v>150</v>
      </c>
      <c r="G49" s="10" t="inlineStr">
        <is>
          <t>Yes</t>
        </is>
      </c>
      <c r="H49" s="10" t="inlineStr">
        <is>
          <t>Active</t>
        </is>
      </c>
      <c r="I49" s="9" t="inlineStr">
        <is>
          <t>https://trilegal.com</t>
        </is>
      </c>
      <c r="J49" s="10" t="inlineStr">
        <is>
          <t>Yes</t>
        </is>
      </c>
      <c r="K49" s="10" t="inlineStr">
        <is>
          <t>Valid</t>
        </is>
      </c>
      <c r="L49" s="10" t="inlineStr">
        <is>
          <t>Sectigo</t>
        </is>
      </c>
      <c r="M49" s="10" t="inlineStr">
        <is>
          <t>No</t>
        </is>
      </c>
      <c r="N49" s="10" t="inlineStr">
        <is>
          <t>Protected</t>
        </is>
      </c>
      <c r="O49" s="10" t="inlineStr">
        <is>
          <t>No</t>
        </is>
      </c>
      <c r="P49" s="10" t="inlineStr">
        <is>
          <t>Clean</t>
        </is>
      </c>
      <c r="Q49" s="9" t="inlineStr">
        <is>
          <t>CSP</t>
        </is>
      </c>
      <c r="R49" s="21" t="n">
        <v>5</v>
      </c>
      <c r="S49" s="32" t="inlineStr">
        <is>
          <t>Very Secure</t>
        </is>
      </c>
      <c r="T49" s="32" t="inlineStr">
        <is>
          <t>LOW</t>
        </is>
      </c>
      <c r="U49" s="10" t="inlineStr">
        <is>
          <t>$250 (Routine Audit / Audit Retainer)</t>
        </is>
      </c>
      <c r="V49" s="23" t="inlineStr">
        <is>
          <t>LinkedIn Outreach to Owner / Operations Manager</t>
        </is>
      </c>
      <c r="W49" s="23" t="inlineStr">
        <is>
          <t>Digital Security Posture Review for Trilegal Advocates</t>
        </is>
      </c>
      <c r="X49" s="23" t="inlineStr">
        <is>
          <t>We have run a digital presence scan on Trilegal Advocates and verified that your primary protocols are secure. We offer routine scanning packages to maintain this posture.</t>
        </is>
      </c>
      <c r="Y49" s="23" t="inlineStr">
        <is>
          <t>General Maintenance &amp; Continuous Security Penetration Scanning</t>
        </is>
      </c>
      <c r="Z49" s="23" t="inlineStr">
        <is>
          <t>None (All Secure)</t>
        </is>
      </c>
      <c r="AA49" s="23" t="inlineStr">
        <is>
          <t>Maintain existing secure posture. Schedule routine security auditing and patch CMS regularly.</t>
        </is>
      </c>
    </row>
    <row r="50" ht="288" customHeight="1">
      <c r="A50" s="24" t="inlineStr">
        <is>
          <t>BIZ-35</t>
        </is>
      </c>
      <c r="B50" s="25" t="inlineStr">
        <is>
          <t>Luthra &amp; Luthra Law Offices Delhi</t>
        </is>
      </c>
      <c r="C50" s="25" t="inlineStr">
        <is>
          <t>Professional Services</t>
        </is>
      </c>
      <c r="D50" s="24" t="inlineStr">
        <is>
          <t>Delhi</t>
        </is>
      </c>
      <c r="E50" s="26" t="n">
        <v>4.3</v>
      </c>
      <c r="F50" s="27" t="n">
        <v>140</v>
      </c>
      <c r="G50" s="24" t="inlineStr">
        <is>
          <t>Yes</t>
        </is>
      </c>
      <c r="H50" s="24" t="inlineStr">
        <is>
          <t>Active</t>
        </is>
      </c>
      <c r="I50" s="25" t="inlineStr">
        <is>
          <t>https://luthra.com</t>
        </is>
      </c>
      <c r="J50" s="24" t="inlineStr">
        <is>
          <t>Yes</t>
        </is>
      </c>
      <c r="K50" s="24" t="inlineStr">
        <is>
          <t>Valid</t>
        </is>
      </c>
      <c r="L50" s="24" t="inlineStr">
        <is>
          <t>DigiCert</t>
        </is>
      </c>
      <c r="M50" s="24" t="inlineStr">
        <is>
          <t>No</t>
        </is>
      </c>
      <c r="N50" s="24" t="inlineStr">
        <is>
          <t>Protected</t>
        </is>
      </c>
      <c r="O50" s="24" t="inlineStr">
        <is>
          <t>No</t>
        </is>
      </c>
      <c r="P50" s="24" t="inlineStr">
        <is>
          <t>Clean</t>
        </is>
      </c>
      <c r="Q50" s="25" t="inlineStr">
        <is>
          <t>None</t>
        </is>
      </c>
      <c r="R50" s="28" t="n">
        <v>5</v>
      </c>
      <c r="S50" s="32" t="inlineStr">
        <is>
          <t>Very Secure</t>
        </is>
      </c>
      <c r="T50" s="32" t="inlineStr">
        <is>
          <t>LOW</t>
        </is>
      </c>
      <c r="U50" s="24" t="inlineStr">
        <is>
          <t>$250 (Routine Audit / Audit Retainer)</t>
        </is>
      </c>
      <c r="V50" s="29" t="inlineStr">
        <is>
          <t>LinkedIn Outreach to Owner / Operations Manager</t>
        </is>
      </c>
      <c r="W50" s="29" t="inlineStr">
        <is>
          <t>Digital Security Posture Review for Luthra &amp; Luthra Law Offices Delhi</t>
        </is>
      </c>
      <c r="X50" s="29" t="inlineStr">
        <is>
          <t>We have run a digital presence scan on Luthra &amp; Luthra Law Offices Delhi and verified that your primary protocols are secure. We offer routine scanning packages to maintain this posture.</t>
        </is>
      </c>
      <c r="Y50" s="29" t="inlineStr">
        <is>
          <t>General Maintenance &amp; Continuous Security Penetration Scanning</t>
        </is>
      </c>
      <c r="Z50" s="29" t="inlineStr">
        <is>
          <t>None (All Secure)</t>
        </is>
      </c>
      <c r="AA50" s="29" t="inlineStr">
        <is>
          <t>Maintain existing secure posture. Schedule routine security auditing and patch CMS regularly.</t>
        </is>
      </c>
    </row>
    <row r="51" ht="270" customHeight="1">
      <c r="A51" s="10" t="inlineStr">
        <is>
          <t>BIZ-36</t>
        </is>
      </c>
      <c r="B51" s="9" t="inlineStr">
        <is>
          <t>J. Sagar Associates</t>
        </is>
      </c>
      <c r="C51" s="9" t="inlineStr">
        <is>
          <t>Professional Services</t>
        </is>
      </c>
      <c r="D51" s="10" t="inlineStr">
        <is>
          <t>Delhi</t>
        </is>
      </c>
      <c r="E51" s="19" t="n">
        <v>4.2</v>
      </c>
      <c r="F51" s="20" t="n">
        <v>120</v>
      </c>
      <c r="G51" s="10" t="inlineStr">
        <is>
          <t>Yes</t>
        </is>
      </c>
      <c r="H51" s="10" t="inlineStr">
        <is>
          <t>Active</t>
        </is>
      </c>
      <c r="I51" s="9" t="inlineStr">
        <is>
          <t>https://jsalaw.com</t>
        </is>
      </c>
      <c r="J51" s="10" t="inlineStr">
        <is>
          <t>Yes</t>
        </is>
      </c>
      <c r="K51" s="10" t="inlineStr">
        <is>
          <t>Valid</t>
        </is>
      </c>
      <c r="L51" s="10" t="inlineStr">
        <is>
          <t>Sectigo</t>
        </is>
      </c>
      <c r="M51" s="10" t="inlineStr">
        <is>
          <t>No</t>
        </is>
      </c>
      <c r="N51" s="10" t="inlineStr">
        <is>
          <t>Protected</t>
        </is>
      </c>
      <c r="O51" s="10" t="inlineStr">
        <is>
          <t>No</t>
        </is>
      </c>
      <c r="P51" s="10" t="inlineStr">
        <is>
          <t>Clean</t>
        </is>
      </c>
      <c r="Q51" s="9" t="inlineStr">
        <is>
          <t>None</t>
        </is>
      </c>
      <c r="R51" s="21" t="n">
        <v>5</v>
      </c>
      <c r="S51" s="32" t="inlineStr">
        <is>
          <t>Very Secure</t>
        </is>
      </c>
      <c r="T51" s="32" t="inlineStr">
        <is>
          <t>LOW</t>
        </is>
      </c>
      <c r="U51" s="10" t="inlineStr">
        <is>
          <t>$250 (Routine Audit / Audit Retainer)</t>
        </is>
      </c>
      <c r="V51" s="23" t="inlineStr">
        <is>
          <t>LinkedIn Outreach to Owner / Operations Manager</t>
        </is>
      </c>
      <c r="W51" s="23" t="inlineStr">
        <is>
          <t>Digital Security Posture Review for J. Sagar Associates</t>
        </is>
      </c>
      <c r="X51" s="23" t="inlineStr">
        <is>
          <t>We have run a digital presence scan on J. Sagar Associates and verified that your primary protocols are secure. We offer routine scanning packages to maintain this posture.</t>
        </is>
      </c>
      <c r="Y51" s="23" t="inlineStr">
        <is>
          <t>General Maintenance &amp; Continuous Security Penetration Scanning</t>
        </is>
      </c>
      <c r="Z51" s="23" t="inlineStr">
        <is>
          <t>None (All Secure)</t>
        </is>
      </c>
      <c r="AA51" s="23" t="inlineStr">
        <is>
          <t>Maintain existing secure posture. Schedule routine security auditing and patch CMS regularly.</t>
        </is>
      </c>
    </row>
    <row r="52" ht="288" customHeight="1">
      <c r="A52" s="24" t="inlineStr">
        <is>
          <t>BIZ-37</t>
        </is>
      </c>
      <c r="B52" s="25" t="inlineStr">
        <is>
          <t>Singhania &amp; Co. Legal Advisors</t>
        </is>
      </c>
      <c r="C52" s="25" t="inlineStr">
        <is>
          <t>Professional Services</t>
        </is>
      </c>
      <c r="D52" s="24" t="inlineStr">
        <is>
          <t>Bengaluru</t>
        </is>
      </c>
      <c r="E52" s="26" t="n">
        <v>4.1</v>
      </c>
      <c r="F52" s="27" t="n">
        <v>85</v>
      </c>
      <c r="G52" s="24" t="inlineStr">
        <is>
          <t>Yes</t>
        </is>
      </c>
      <c r="H52" s="24" t="inlineStr">
        <is>
          <t>Active</t>
        </is>
      </c>
      <c r="I52" s="25" t="inlineStr">
        <is>
          <t>https://singhania.in</t>
        </is>
      </c>
      <c r="J52" s="24" t="inlineStr">
        <is>
          <t>Yes</t>
        </is>
      </c>
      <c r="K52" s="24" t="inlineStr">
        <is>
          <t>Valid</t>
        </is>
      </c>
      <c r="L52" s="24" t="inlineStr">
        <is>
          <t>Sectigo</t>
        </is>
      </c>
      <c r="M52" s="24" t="inlineStr">
        <is>
          <t>No</t>
        </is>
      </c>
      <c r="N52" s="24" t="inlineStr">
        <is>
          <t>Protected</t>
        </is>
      </c>
      <c r="O52" s="24" t="inlineStr">
        <is>
          <t>No</t>
        </is>
      </c>
      <c r="P52" s="24" t="inlineStr">
        <is>
          <t>Clean</t>
        </is>
      </c>
      <c r="Q52" s="25" t="inlineStr">
        <is>
          <t>CSP</t>
        </is>
      </c>
      <c r="R52" s="28" t="n">
        <v>5</v>
      </c>
      <c r="S52" s="32" t="inlineStr">
        <is>
          <t>Very Secure</t>
        </is>
      </c>
      <c r="T52" s="32" t="inlineStr">
        <is>
          <t>LOW</t>
        </is>
      </c>
      <c r="U52" s="24" t="inlineStr">
        <is>
          <t>$250 (Routine Audit / Audit Retainer)</t>
        </is>
      </c>
      <c r="V52" s="29" t="inlineStr">
        <is>
          <t>LinkedIn Outreach to Owner / Operations Manager</t>
        </is>
      </c>
      <c r="W52" s="29" t="inlineStr">
        <is>
          <t>Digital Security Posture Review for Singhania &amp; Co. Legal Advisors</t>
        </is>
      </c>
      <c r="X52" s="29" t="inlineStr">
        <is>
          <t>We have run a digital presence scan on Singhania &amp; Co. Legal Advisors and verified that your primary protocols are secure. We offer routine scanning packages to maintain this posture.</t>
        </is>
      </c>
      <c r="Y52" s="29" t="inlineStr">
        <is>
          <t>General Maintenance &amp; Continuous Security Penetration Scanning</t>
        </is>
      </c>
      <c r="Z52" s="29" t="inlineStr">
        <is>
          <t>None (All Secure)</t>
        </is>
      </c>
      <c r="AA52" s="29" t="inlineStr">
        <is>
          <t>Maintain existing secure posture. Schedule routine security auditing and patch CMS regularly.</t>
        </is>
      </c>
    </row>
    <row r="54" ht="24" customHeight="1">
      <c r="A54" s="13" t="inlineStr">
        <is>
          <t>Summary Metrics</t>
        </is>
      </c>
      <c r="B54" s="33" t="n"/>
      <c r="C54" s="33" t="n"/>
      <c r="D54" s="33" t="n"/>
      <c r="E54" s="34">
        <f>AVERAGE(E3:E52)</f>
        <v/>
      </c>
      <c r="F54" s="35">
        <f>SUM(F3:F52)</f>
        <v/>
      </c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16">
        <f>AVERAGE(R3:R52)</f>
        <v/>
      </c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2026-07-03T08:44:32Z</dcterms:created>
  <dcterms:modified xmlns:dcterms="http://purl.org/dc/terms/" xmlns:xsi="http://www.w3.org/2001/XMLSchema-instance" xsi:type="dcterms:W3CDTF">2026-07-03T08:44:32Z</dcterms:modified>
</cp:coreProperties>
</file>